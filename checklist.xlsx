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Checklist" sheetId="1" state="visible" r:id="rId3"/>
    <sheet name="Cross-Doc Validation" sheetId="2" state="visible" r:id="rId4"/>
    <sheet name="Detection Methods" sheetId="3" state="visible" r:id="rId5"/>
    <sheet name="Severity Framework" sheetId="4" state="visible" r:id="rId6"/>
    <sheet name="Summary" sheetId="5" state="visible" r:id="rId7"/>
  </sheets>
  <definedNames>
    <definedName function="false" hidden="true" localSheetId="1" name="_xlnm._FilterDatabase" vbProcedure="false">'Cross-Doc Validation'!$A$4:$F$24</definedName>
    <definedName function="false" hidden="true" localSheetId="0" name="_xlnm._FilterDatabase" vbProcedure="false">'Master Checklist'!$A$4:$G$125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<sst xmlns="http://schemas.openxmlformats.org/spreadsheetml/2006/main" count="920" uniqueCount="607">
  <si>
    <t xml:space="preserve">QUANTANA FRAUD DETECTION CHECKLIST</t>
  </si>
  <si>
    <t xml:space="preserve">Pre-Binding Submission Fraud Indicators by Document Type</t>
  </si>
  <si>
    <t xml:space="preserve">Document Type</t>
  </si>
  <si>
    <t xml:space="preserve">Check Category</t>
  </si>
  <si>
    <t xml:space="preserve">Specific Fraud Indicator</t>
  </si>
  <si>
    <t xml:space="preserve">What to Cross-Reference</t>
  </si>
  <si>
    <t xml:space="preserve">Severity</t>
  </si>
  <si>
    <t xml:space="preserve">Detection Method</t>
  </si>
  <si>
    <t xml:space="preserve">AI Implementation Notes</t>
  </si>
  <si>
    <t xml:space="preserve">ACORD 125</t>
  </si>
  <si>
    <t xml:space="preserve">ACORD 125
(Commercial App)</t>
  </si>
  <si>
    <t xml:space="preserve">Revenue Validation</t>
  </si>
  <si>
    <t xml:space="preserve">Revenue on application differs from financial statements by &gt;15%</t>
  </si>
  <si>
    <t xml:space="preserve">Financial statements, tax returns (Schedule C / Form 1120)</t>
  </si>
  <si>
    <t xml:space="preserve">CRITICAL</t>
  </si>
  <si>
    <t xml:space="preserve">Cross-doc NLP</t>
  </si>
  <si>
    <t xml:space="preserve">Extract revenue fields, fuzzy-match across docs. Flag variance &gt;15%.</t>
  </si>
  <si>
    <t xml:space="preserve">Revenue figures are suspiciously round (exact multiples of $100K)</t>
  </si>
  <si>
    <t xml:space="preserve">Industry benchmarks, prior year applications</t>
  </si>
  <si>
    <t xml:space="preserve">HIGH</t>
  </si>
  <si>
    <t xml:space="preserve">Statistical</t>
  </si>
  <si>
    <t xml:space="preserve">Round-number detection algorithm on all currency fields.</t>
  </si>
  <si>
    <t xml:space="preserve">Loss History</t>
  </si>
  <si>
    <t xml:space="preserve">Application claims 'no prior losses' but loss runs show claims</t>
  </si>
  <si>
    <t xml:space="preserve">Loss runs, CLUE reports, E-Mod worksheets</t>
  </si>
  <si>
    <t xml:space="preserve">Boolean match: app loss disclosure vs. loss run claim count.</t>
  </si>
  <si>
    <t xml:space="preserve">Gaps in prior coverage &gt;30 days with no explanation</t>
  </si>
  <si>
    <t xml:space="preserve">Prior carrier COIs, loss runs</t>
  </si>
  <si>
    <t xml:space="preserve">Temporal</t>
  </si>
  <si>
    <t xml:space="preserve">Date-gap analysis on coverage periods.</t>
  </si>
  <si>
    <t xml:space="preserve">Metadata</t>
  </si>
  <si>
    <t xml:space="preserve">PDF creation date is after submission date</t>
  </si>
  <si>
    <t xml:space="preserve">Submission email timestamp</t>
  </si>
  <si>
    <t xml:space="preserve">Forensic</t>
  </si>
  <si>
    <t xml:space="preserve">Extract PDF metadata; compare creation_date vs. email receipt.</t>
  </si>
  <si>
    <t xml:space="preserve">Multiple PDF producers in single form (cut-and-paste assembly)</t>
  </si>
  <si>
    <t xml:space="preserve">Standard ACORD form templates</t>
  </si>
  <si>
    <t xml:space="preserve">MEDIUM</t>
  </si>
  <si>
    <t xml:space="preserve">Parse /Producer tags in PDF metadata per page.</t>
  </si>
  <si>
    <t xml:space="preserve">Font inconsistencies between applicant-filled and agent-filled sections</t>
  </si>
  <si>
    <t xml:space="preserve">Expected ACORD form fonts</t>
  </si>
  <si>
    <t xml:space="preserve">Font extraction and consistency check across form regions.</t>
  </si>
  <si>
    <t xml:space="preserve">Entity</t>
  </si>
  <si>
    <t xml:space="preserve">Business incorporated &lt;2 years with mature operations claimed</t>
  </si>
  <si>
    <t xml:space="preserve">Secretary of State records, business credit databases</t>
  </si>
  <si>
    <t xml:space="preserve">Entity Intel</t>
  </si>
  <si>
    <t xml:space="preserve">API call to SOS database; compare incorporation date to app date.</t>
  </si>
  <si>
    <t xml:space="preserve">Registered agent address is virtual office or PO box</t>
  </si>
  <si>
    <t xml:space="preserve">Google Maps API, USPS address validation</t>
  </si>
  <si>
    <t xml:space="preserve">Address classification model (residential/commercial/virtual).</t>
  </si>
  <si>
    <t xml:space="preserve">25%+ of submissions from same agent fall outside appetite</t>
  </si>
  <si>
    <t xml:space="preserve">Portfolio-level submission analytics</t>
  </si>
  <si>
    <t xml:space="preserve">Pattern</t>
  </si>
  <si>
    <t xml:space="preserve">Agent-level submission quality scoring over time.</t>
  </si>
  <si>
    <t xml:space="preserve">ACORD 130</t>
  </si>
  <si>
    <t xml:space="preserve">ACORD 130
(Workers' Comp)</t>
  </si>
  <si>
    <t xml:space="preserve">Payroll Manipulation</t>
  </si>
  <si>
    <t xml:space="preserve">Total payroll on app differs from Form 941 quarterly totals by &gt;10%</t>
  </si>
  <si>
    <t xml:space="preserve">Form 941 (quarterly), Form 940 (annual), W-2 totals</t>
  </si>
  <si>
    <t xml:space="preserve">OCR payroll fields from tax docs; sum and compare to app.</t>
  </si>
  <si>
    <t xml:space="preserve">Payroll per employee outside industry norms (e.g., &lt;$25K or &gt;$80K for classification)</t>
  </si>
  <si>
    <t xml:space="preserve">BLS industry wage data, NCCI classification guides</t>
  </si>
  <si>
    <t xml:space="preserve">Payroll-per-head calculation vs. industry lookup table.</t>
  </si>
  <si>
    <t xml:space="preserve">Classification Fraud</t>
  </si>
  <si>
    <t xml:space="preserve">High-hazard employees (laborers, roofers) classified as office/clerical</t>
  </si>
  <si>
    <t xml:space="preserve">Job descriptions, OSHA records, prior apps</t>
  </si>
  <si>
    <t xml:space="preserve">NLP + Rules</t>
  </si>
  <si>
    <t xml:space="preserve">Compare classification codes to business description keywords.</t>
  </si>
  <si>
    <t xml:space="preserve">Payroll disproportionately allocated to lowest-risk classification</t>
  </si>
  <si>
    <t xml:space="preserve">Industry payroll mix benchmarks</t>
  </si>
  <si>
    <t xml:space="preserve">Classification-mix analysis vs. industry norms.</t>
  </si>
  <si>
    <t xml:space="preserve">Ghost Employees</t>
  </si>
  <si>
    <t xml:space="preserve">Employee count on app doesn't match W-2 count or 941 headcount</t>
  </si>
  <si>
    <t xml:space="preserve">W-2 transmittals, Form 941 employee counts</t>
  </si>
  <si>
    <t xml:space="preserve">Headcount reconciliation across documents.</t>
  </si>
  <si>
    <t xml:space="preserve">E-Mod</t>
  </si>
  <si>
    <t xml:space="preserve">E-Mod worksheet claims don't match loss runs</t>
  </si>
  <si>
    <t xml:space="preserve">Loss runs from prior carriers, NCCI records</t>
  </si>
  <si>
    <t xml:space="preserve">Claim-by-claim matching between E-Mod and loss runs.</t>
  </si>
  <si>
    <t xml:space="preserve">Employees added/removed coinciding exactly with policy inception</t>
  </si>
  <si>
    <t xml:space="preserve">Prior period payroll records</t>
  </si>
  <si>
    <t xml:space="preserve">Spike detection in headcount around renewal dates.</t>
  </si>
  <si>
    <t xml:space="preserve">ACORD 140</t>
  </si>
  <si>
    <t xml:space="preserve">ACORD 140
(Property)</t>
  </si>
  <si>
    <t xml:space="preserve">Value Overstatement</t>
  </si>
  <si>
    <t xml:space="preserve">Insured value exceeds comparable properties by &gt;30%</t>
  </si>
  <si>
    <t xml:space="preserve">Tax assessor records, Zillow/Redfin data, prior carrier declarations</t>
  </si>
  <si>
    <t xml:space="preserve">API pull assessed values; ratio analysis (insured/assessed).</t>
  </si>
  <si>
    <t xml:space="preserve">Contents value is disproportionate to building size and operations type</t>
  </si>
  <si>
    <t xml:space="preserve">Industry contents-to-building ratios (retail 20-40%, mfg 30-60%)</t>
  </si>
  <si>
    <t xml:space="preserve">Contents:building ratio vs. industry lookup by classification.</t>
  </si>
  <si>
    <t xml:space="preserve">Property values round to nearest $50K increments across all locations</t>
  </si>
  <si>
    <t xml:space="preserve">Mathematical pattern analysis</t>
  </si>
  <si>
    <t xml:space="preserve">Round-number detection on all value fields.</t>
  </si>
  <si>
    <t xml:space="preserve">Occupancy Fraud</t>
  </si>
  <si>
    <t xml:space="preserve">Property claimed as occupied but inspection/satellite shows vacancy</t>
  </si>
  <si>
    <t xml:space="preserve">Google Earth imagery, inspection reports, utility records</t>
  </si>
  <si>
    <t xml:space="preserve">Visual AI</t>
  </si>
  <si>
    <t xml:space="preserve">Satellite image analysis for occupancy indicators.</t>
  </si>
  <si>
    <t xml:space="preserve">Condition Fraud</t>
  </si>
  <si>
    <t xml:space="preserve">'Excellent' condition claimed for property visible as deteriorated in public imagery</t>
  </si>
  <si>
    <t xml:space="preserve">Google Street View, prior inspection reports</t>
  </si>
  <si>
    <t xml:space="preserve">Image comparison model (claimed condition vs. public imagery).</t>
  </si>
  <si>
    <t xml:space="preserve">Property acquired recently with immediate high insured value</t>
  </si>
  <si>
    <t xml:space="preserve">Deed records, purchase price, closing documents</t>
  </si>
  <si>
    <t xml:space="preserve">Purchase date proximity analysis; value vs. purchase price ratio.</t>
  </si>
  <si>
    <t xml:space="preserve">Geographic</t>
  </si>
  <si>
    <t xml:space="preserve">Multiple properties at same address or physically impossible locations</t>
  </si>
  <si>
    <t xml:space="preserve">Address validation API, geolocation</t>
  </si>
  <si>
    <t xml:space="preserve">Rules</t>
  </si>
  <si>
    <t xml:space="preserve">Geocode all addresses; distance/duplicate check.</t>
  </si>
  <si>
    <t xml:space="preserve">Loss Runs</t>
  </si>
  <si>
    <t xml:space="preserve">Loss Runs
(Prior Carriers)</t>
  </si>
  <si>
    <t xml:space="preserve">Fabrication</t>
  </si>
  <si>
    <t xml:space="preserve">Loss run appears entirely fabricated — claims not in carrier system</t>
  </si>
  <si>
    <t xml:space="preserve">Direct carrier verification, CLUE reports</t>
  </si>
  <si>
    <t xml:space="preserve">Cross-doc + API</t>
  </si>
  <si>
    <t xml:space="preserve">Carrier verification API or manual callback workflow.</t>
  </si>
  <si>
    <t xml:space="preserve">Claim numbers don't match carrier's numbering format</t>
  </si>
  <si>
    <t xml:space="preserve">Known carrier claim number patterns</t>
  </si>
  <si>
    <t xml:space="preserve">Regex validation against carrier-specific claim ID formats.</t>
  </si>
  <si>
    <t xml:space="preserve">Omission</t>
  </si>
  <si>
    <t xml:space="preserve">Known claims in CLUE report missing from submitted loss runs</t>
  </si>
  <si>
    <t xml:space="preserve">CLUE reports, prior applications</t>
  </si>
  <si>
    <t xml:space="preserve">Claim-count comparison: CLUE vs. submitted loss run.</t>
  </si>
  <si>
    <t xml:space="preserve">Alteration</t>
  </si>
  <si>
    <t xml:space="preserve">Loss dates shifted to fall outside the 3-5 year lookback period</t>
  </si>
  <si>
    <t xml:space="preserve">CLUE reports, E-Mod worksheets</t>
  </si>
  <si>
    <t xml:space="preserve">Date alignment check across all claim data sources.</t>
  </si>
  <si>
    <t xml:space="preserve">PDF author/producer doesn't match carrier name (e.g., 'John_home' not 'Hartford_Systems')</t>
  </si>
  <si>
    <t xml:space="preserve">Known carrier PDF metadata signatures</t>
  </si>
  <si>
    <t xml:space="preserve">PDF producer matching against carrier template database.</t>
  </si>
  <si>
    <t xml:space="preserve">Loss run is an embedded image (not searchable text) — prevents OCR verification</t>
  </si>
  <si>
    <t xml:space="preserve">Expected carrier output format</t>
  </si>
  <si>
    <t xml:space="preserve">Text-layer detection in PDF; flag image-only docs.</t>
  </si>
  <si>
    <t xml:space="preserve">All losses settle at amounts just below deductible (pattern fraud)</t>
  </si>
  <si>
    <t xml:space="preserve">Deductible schedule, claim severity distribution</t>
  </si>
  <si>
    <t xml:space="preserve">Clustering analysis on claim amounts vs. deductible thresholds.</t>
  </si>
  <si>
    <t xml:space="preserve">Claims clustering around policy inception or renewal dates</t>
  </si>
  <si>
    <t xml:space="preserve">Policy effective/expiration dates</t>
  </si>
  <si>
    <t xml:space="preserve">Date proximity scoring for claim dates vs. policy dates.</t>
  </si>
  <si>
    <t xml:space="preserve">Loss run effective date is before the policy effective date (impossible)</t>
  </si>
  <si>
    <t xml:space="preserve">Policy inception date</t>
  </si>
  <si>
    <t xml:space="preserve">Simple date comparison rule.</t>
  </si>
  <si>
    <t xml:space="preserve">Financial Stmts</t>
  </si>
  <si>
    <t xml:space="preserve">Financial Statements
(Audited/Unaudited)</t>
  </si>
  <si>
    <t xml:space="preserve">Revenue Fraud</t>
  </si>
  <si>
    <t xml:space="preserve">Revenue growth &gt;30% YoY without business explanation</t>
  </si>
  <si>
    <t xml:space="preserve">Prior year financials, industry growth rates</t>
  </si>
  <si>
    <t xml:space="preserve">YoY growth calculation; flag outliers vs. industry median.</t>
  </si>
  <si>
    <t xml:space="preserve">Days Sales Outstanding (DSO) growing &gt;20% while revenue increases (fictitious revenue)</t>
  </si>
  <si>
    <t xml:space="preserve">A/R aging, prior year DSO</t>
  </si>
  <si>
    <t xml:space="preserve">Ratio Analysis</t>
  </si>
  <si>
    <t xml:space="preserve">DSO trend calculation across 3 years.</t>
  </si>
  <si>
    <t xml:space="preserve">Accounts Receivable &gt;40% of revenue</t>
  </si>
  <si>
    <t xml:space="preserve">Industry A/R benchmarks</t>
  </si>
  <si>
    <t xml:space="preserve">A/R-to-revenue ratio with industry comparison.</t>
  </si>
  <si>
    <t xml:space="preserve">Expense Anomaly</t>
  </si>
  <si>
    <t xml:space="preserve">COGS as % of revenue deviates &gt;15% from industry norm</t>
  </si>
  <si>
    <t xml:space="preserve">Industry COGS benchmarks (mfg 40-60%, retail 50-70%)</t>
  </si>
  <si>
    <t xml:space="preserve">COGS margin vs. NAICS-code industry benchmark.</t>
  </si>
  <si>
    <t xml:space="preserve">Profitability</t>
  </si>
  <si>
    <t xml:space="preserve">Net profit margin exceeds industry average by &gt;50%</t>
  </si>
  <si>
    <t xml:space="preserve">Industry profit margin data</t>
  </si>
  <si>
    <t xml:space="preserve">Margin comparison to peer group.</t>
  </si>
  <si>
    <t xml:space="preserve">GAAP Violation</t>
  </si>
  <si>
    <t xml:space="preserve">Large year-end journal entries &gt;5% of net income</t>
  </si>
  <si>
    <t xml:space="preserve">Monthly trial balance, audit adjustments</t>
  </si>
  <si>
    <t xml:space="preserve">Adjustment magnitude analysis.</t>
  </si>
  <si>
    <t xml:space="preserve">Auditor Fraud</t>
  </si>
  <si>
    <t xml:space="preserve">Auditor not found in regulatory licensing database</t>
  </si>
  <si>
    <t xml:space="preserve">PCAOB database, state CPA board</t>
  </si>
  <si>
    <t xml:space="preserve">Auditor name lookup against PCAOB registered firms.</t>
  </si>
  <si>
    <t xml:space="preserve">Financial statement PDF creation date is months after fiscal year end</t>
  </si>
  <si>
    <t xml:space="preserve">Fiscal year end date, filing dates</t>
  </si>
  <si>
    <t xml:space="preserve">PDF creation date vs. stated period-end.</t>
  </si>
  <si>
    <t xml:space="preserve">Cross-doc</t>
  </si>
  <si>
    <t xml:space="preserve">Revenue on financials differs from ACORD 125 by &gt;10%</t>
  </si>
  <si>
    <t xml:space="preserve">ACORD 125 application</t>
  </si>
  <si>
    <t xml:space="preserve">Revenue extraction from both docs; variance calculation.</t>
  </si>
  <si>
    <t xml:space="preserve">COIs</t>
  </si>
  <si>
    <t xml:space="preserve">Certificates of
Insurance (COIs)</t>
  </si>
  <si>
    <t xml:space="preserve">Forgery</t>
  </si>
  <si>
    <t xml:space="preserve">Insurer confirms no policy exists for stated policy number</t>
  </si>
  <si>
    <t xml:space="preserve">Direct insurer verification, NAIC database</t>
  </si>
  <si>
    <t xml:space="preserve">API + Manual</t>
  </si>
  <si>
    <t xml:space="preserve">Policy verification API or auto-generated verification request.</t>
  </si>
  <si>
    <t xml:space="preserve">ACORD logo is pixelated, low-res, or missing</t>
  </si>
  <si>
    <t xml:space="preserve">Standard ACORD 25 template</t>
  </si>
  <si>
    <t xml:space="preserve">Logo detection and quality comparison model.</t>
  </si>
  <si>
    <t xml:space="preserve">Font inconsistencies between policy number, dates, and form body</t>
  </si>
  <si>
    <t xml:space="preserve">Expected ACORD 25 fonts and layout</t>
  </si>
  <si>
    <t xml:space="preserve">Font extraction and consistency scoring.</t>
  </si>
  <si>
    <t xml:space="preserve">Coverage Gap</t>
  </si>
  <si>
    <t xml:space="preserve">Policy expiration date is before application submission date</t>
  </si>
  <si>
    <t xml:space="preserve">Application submission timestamp</t>
  </si>
  <si>
    <t xml:space="preserve">Simple date comparison.</t>
  </si>
  <si>
    <t xml:space="preserve">Coverage limits inadequate for stated operations (e.g., $300K GL for $5M revenue)</t>
  </si>
  <si>
    <t xml:space="preserve">Operations description, revenue, industry minimums</t>
  </si>
  <si>
    <t xml:space="preserve">Rules + Stats</t>
  </si>
  <si>
    <t xml:space="preserve">Limit adequacy model by classification and revenue.</t>
  </si>
  <si>
    <t xml:space="preserve">Agent Fraud</t>
  </si>
  <si>
    <t xml:space="preserve">Agent email domain is generic (@gmail) or spoofed (amica-insurance.com vs. amica.com)</t>
  </si>
  <si>
    <t xml:space="preserve">Licensed agent database, domain verification</t>
  </si>
  <si>
    <t xml:space="preserve">Domain similarity scoring against known carrier domains.</t>
  </si>
  <si>
    <t xml:space="preserve">Agent not found in state producer licensing database</t>
  </si>
  <si>
    <t xml:space="preserve">State DOI producer license lookup</t>
  </si>
  <si>
    <t xml:space="preserve">API</t>
  </si>
  <si>
    <t xml:space="preserve">NIPR API lookup for agent license status.</t>
  </si>
  <si>
    <t xml:space="preserve">COI PDF contains entire certificate as embedded image (no text layer)</t>
  </si>
  <si>
    <t xml:space="preserve">Standard COI output format</t>
  </si>
  <si>
    <t xml:space="preserve">Text layer presence check.</t>
  </si>
  <si>
    <t xml:space="preserve">Entity Docs</t>
  </si>
  <si>
    <t xml:space="preserve">Business Entity
Documents</t>
  </si>
  <si>
    <t xml:space="preserve">Entity not found in Secretary of State records</t>
  </si>
  <si>
    <t xml:space="preserve">State SOS database</t>
  </si>
  <si>
    <t xml:space="preserve">Automated SOS API verification.</t>
  </si>
  <si>
    <t xml:space="preserve">Articles of incorporation formatting doesn't match state template</t>
  </si>
  <si>
    <t xml:space="preserve">Known state filing templates</t>
  </si>
  <si>
    <t xml:space="preserve">Template matching against state-specific formats.</t>
  </si>
  <si>
    <t xml:space="preserve">Thin File</t>
  </si>
  <si>
    <t xml:space="preserve">Business incorporated &lt;2 years with no web presence</t>
  </si>
  <si>
    <t xml:space="preserve">SOS records, web presence check, Google search</t>
  </si>
  <si>
    <t xml:space="preserve">Age + web footprint scoring model.</t>
  </si>
  <si>
    <t xml:space="preserve">Federal EIN filed &lt;6 months before application</t>
  </si>
  <si>
    <t xml:space="preserve">IRS EIN lookup</t>
  </si>
  <si>
    <t xml:space="preserve">EIN issuance date vs. application date.</t>
  </si>
  <si>
    <t xml:space="preserve">Ownership</t>
  </si>
  <si>
    <t xml:space="preserve">Same beneficial owner appears across multiple unrelated submissions</t>
  </si>
  <si>
    <t xml:space="preserve">Cross-MGA entity graph</t>
  </si>
  <si>
    <t xml:space="preserve">Network Graph</t>
  </si>
  <si>
    <t xml:space="preserve">Entity resolution + graph analysis across all submissions.</t>
  </si>
  <si>
    <t xml:space="preserve">Officers listed as 'To Be Determined' or nominee shareholders</t>
  </si>
  <si>
    <t xml:space="preserve">Filing documents</t>
  </si>
  <si>
    <t xml:space="preserve">NLP</t>
  </si>
  <si>
    <t xml:space="preserve">Named entity recognition on officer fields.</t>
  </si>
  <si>
    <t xml:space="preserve">Synthetic Entity</t>
  </si>
  <si>
    <t xml:space="preserve">Document watermarks/seals inconsistent with official state documents</t>
  </si>
  <si>
    <t xml:space="preserve">Known state seal library</t>
  </si>
  <si>
    <t xml:space="preserve">Seal/watermark authenticity model.</t>
  </si>
  <si>
    <t xml:space="preserve">Document metadata author is personal name, not state filing system</t>
  </si>
  <si>
    <t xml:space="preserve">Expected state filing system metadata</t>
  </si>
  <si>
    <t xml:space="preserve">Producer/author field validation.</t>
  </si>
  <si>
    <t xml:space="preserve">Inspection / Photos</t>
  </si>
  <si>
    <t xml:space="preserve">Property Inspection
Reports / Photos</t>
  </si>
  <si>
    <t xml:space="preserve">Photo Manipulation</t>
  </si>
  <si>
    <t xml:space="preserve">Copy-move or splicing detected in submitted photos</t>
  </si>
  <si>
    <t xml:space="preserve">Original image forensic analysis</t>
  </si>
  <si>
    <t xml:space="preserve">Error Level Analysis (ELA) and copy-move detection model.</t>
  </si>
  <si>
    <t xml:space="preserve">EXIF GPS coordinates don't match claimed property address</t>
  </si>
  <si>
    <t xml:space="preserve">Property address geocoding</t>
  </si>
  <si>
    <t xml:space="preserve">EXIF GPS extraction; distance calculation to claimed address.</t>
  </si>
  <si>
    <t xml:space="preserve">EXIF data entirely stripped from photos (concealment indicator)</t>
  </si>
  <si>
    <t xml:space="preserve">Standard camera EXIF expectations</t>
  </si>
  <si>
    <t xml:space="preserve">EXIF presence check; flag completely stripped images.</t>
  </si>
  <si>
    <t xml:space="preserve">Reverse image search finds photo on internet / used in other claims</t>
  </si>
  <si>
    <t xml:space="preserve">Google Reverse Image Search API</t>
  </si>
  <si>
    <t xml:space="preserve">Perceptual hashing + reverse image search.</t>
  </si>
  <si>
    <t xml:space="preserve">Claimed 'excellent' condition contradicted by satellite/street imagery</t>
  </si>
  <si>
    <t xml:space="preserve">Google Earth, Google Street View (with timestamps)</t>
  </si>
  <si>
    <t xml:space="preserve">Condition assessment model comparing submitted vs. public images.</t>
  </si>
  <si>
    <t xml:space="preserve">Photos show vacant property but application claims occupied</t>
  </si>
  <si>
    <t xml:space="preserve">Application occupancy field</t>
  </si>
  <si>
    <t xml:space="preserve">Visual AI + NLP</t>
  </si>
  <si>
    <t xml:space="preserve">Vacancy indicators in photos (boarded windows, no furniture).</t>
  </si>
  <si>
    <t xml:space="preserve">Photo timestamps span only minutes for multi-hour inspection</t>
  </si>
  <si>
    <t xml:space="preserve">Expected inspection duration</t>
  </si>
  <si>
    <t xml:space="preserve">EXIF timestamp sequence analysis.</t>
  </si>
  <si>
    <t xml:space="preserve">Inspection report dated &gt;6 months before application (stale)</t>
  </si>
  <si>
    <t xml:space="preserve">Application date</t>
  </si>
  <si>
    <t xml:space="preserve">Date proximity check.</t>
  </si>
  <si>
    <t xml:space="preserve">Driver MVRs</t>
  </si>
  <si>
    <t xml:space="preserve">Driver MVRs
(Motor Vehicle Records)</t>
  </si>
  <si>
    <t xml:space="preserve">MVR format doesn't match state DMV template</t>
  </si>
  <si>
    <t xml:space="preserve">Known state MVR templates</t>
  </si>
  <si>
    <t xml:space="preserve">Drivers with poor records omitted from fleet schedule</t>
  </si>
  <si>
    <t xml:space="preserve">CLUE reports, prior carrier records</t>
  </si>
  <si>
    <t xml:space="preserve">Driver list comparison across all submitted documents.</t>
  </si>
  <si>
    <t xml:space="preserve">License Fraud</t>
  </si>
  <si>
    <t xml:space="preserve">Non-CDL driver operating commercial vehicle</t>
  </si>
  <si>
    <t xml:space="preserve">Vehicle schedule, license class</t>
  </si>
  <si>
    <t xml:space="preserve">License class vs. vehicle type matching.</t>
  </si>
  <si>
    <t xml:space="preserve">Identity</t>
  </si>
  <si>
    <t xml:space="preserve">Driver name/DOB varies across MVR, application, and license</t>
  </si>
  <si>
    <t xml:space="preserve">All driver-related documents</t>
  </si>
  <si>
    <t xml:space="preserve">Name and DOB fuzzy matching across document set.</t>
  </si>
  <si>
    <t xml:space="preserve">MVR dated &gt;30 days before application (stale record)</t>
  </si>
  <si>
    <t xml:space="preserve">MVR PDF metadata shows non-DMV producer</t>
  </si>
  <si>
    <t xml:space="preserve">Known DMV system identifiers</t>
  </si>
  <si>
    <t xml:space="preserve">PDF producer validation against DMV signatures.</t>
  </si>
  <si>
    <t xml:space="preserve">SOVs</t>
  </si>
  <si>
    <t xml:space="preserve">Schedules of
Values (SOVs)</t>
  </si>
  <si>
    <t xml:space="preserve">Value Inflation</t>
  </si>
  <si>
    <t xml:space="preserve">Line-item costs significantly exceed contractor bid documents</t>
  </si>
  <si>
    <t xml:space="preserve">Original bid/contract, subcontractor quotes</t>
  </si>
  <si>
    <t xml:space="preserve">Line-item extraction and comparison to contract values.</t>
  </si>
  <si>
    <t xml:space="preserve">Material quantities exceed project requirements</t>
  </si>
  <si>
    <t xml:space="preserve">Project plans, specifications</t>
  </si>
  <si>
    <t xml:space="preserve">Quantity reasonableness check vs. project scope.</t>
  </si>
  <si>
    <t xml:space="preserve">Fictitious Vendor</t>
  </si>
  <si>
    <t xml:space="preserve">Subcontractors on SOV cannot be verified in business registries</t>
  </si>
  <si>
    <t xml:space="preserve">SOS records, contractor license databases</t>
  </si>
  <si>
    <t xml:space="preserve">Automated vendor verification across registries.</t>
  </si>
  <si>
    <t xml:space="preserve">Phase Fraud</t>
  </si>
  <si>
    <t xml:space="preserve">Early phases allocated disproportionate percentage (front-loading)</t>
  </si>
  <si>
    <t xml:space="preserve">Industry phase allocation norms</t>
  </si>
  <si>
    <t xml:space="preserve">Phase allocation analysis vs. construction benchmarks.</t>
  </si>
  <si>
    <t xml:space="preserve">Ghost Labor</t>
  </si>
  <si>
    <t xml:space="preserve">Labor costs allocated to phases with no corresponding worker records</t>
  </si>
  <si>
    <t xml:space="preserve">Payroll records, W-2 data</t>
  </si>
  <si>
    <t xml:space="preserve">Labor cost vs. payroll reconciliation.</t>
  </si>
  <si>
    <t xml:space="preserve">Surplus Lines</t>
  </si>
  <si>
    <t xml:space="preserve">Surplus Lines
Filings</t>
  </si>
  <si>
    <t xml:space="preserve">Regulatory</t>
  </si>
  <si>
    <t xml:space="preserve">Carrier not on state-approved surplus lines list</t>
  </si>
  <si>
    <t xml:space="preserve">State DOI surplus lines carrier list</t>
  </si>
  <si>
    <t xml:space="preserve">Carrier lookup against state-specific approved lists.</t>
  </si>
  <si>
    <t xml:space="preserve">False 'unavailable in admitted market' affidavit — coverage was available</t>
  </si>
  <si>
    <t xml:space="preserve">Admitted market carrier quotes</t>
  </si>
  <si>
    <t xml:space="preserve">Check for competing admitted market quotes in submission.</t>
  </si>
  <si>
    <t xml:space="preserve">Tax Fraud</t>
  </si>
  <si>
    <t xml:space="preserve">Surplus lines tax not calculated or remitted (typically 3-5%)</t>
  </si>
  <si>
    <t xml:space="preserve">State tax requirements, premium calculations</t>
  </si>
  <si>
    <t xml:space="preserve">Tax calculation verification against state rates.</t>
  </si>
  <si>
    <t xml:space="preserve">Filing retroactive to policy inception (improper timing)</t>
  </si>
  <si>
    <t xml:space="preserve">Policy effective date, filing date</t>
  </si>
  <si>
    <t xml:space="preserve">Filing date vs. inception date comparison.</t>
  </si>
  <si>
    <t xml:space="preserve">Prof. Licenses</t>
  </si>
  <si>
    <t xml:space="preserve">Professional
Licenses / Certs</t>
  </si>
  <si>
    <t xml:space="preserve">License number not found in issuing authority database</t>
  </si>
  <si>
    <t xml:space="preserve">State licensing board databases</t>
  </si>
  <si>
    <t xml:space="preserve">Automated license verification against state boards.</t>
  </si>
  <si>
    <t xml:space="preserve">Expired/Suspended</t>
  </si>
  <si>
    <t xml:space="preserve">License expired or suspended but represented as active</t>
  </si>
  <si>
    <t xml:space="preserve">Licensing authority status check</t>
  </si>
  <si>
    <t xml:space="preserve">Real-time license status verification.</t>
  </si>
  <si>
    <t xml:space="preserve">Scope Mismatch</t>
  </si>
  <si>
    <t xml:space="preserve">License type doesn't cover stated scope of work</t>
  </si>
  <si>
    <t xml:space="preserve">License classification, stated services</t>
  </si>
  <si>
    <t xml:space="preserve">Rules + NLP</t>
  </si>
  <si>
    <t xml:space="preserve">License scope vs. service description matching.</t>
  </si>
  <si>
    <t xml:space="preserve">Discipline</t>
  </si>
  <si>
    <t xml:space="preserve">Undisclosed disciplinary actions on license</t>
  </si>
  <si>
    <t xml:space="preserve">State board disciplinary records</t>
  </si>
  <si>
    <t xml:space="preserve">Disciplinary record check against board databases.</t>
  </si>
  <si>
    <t xml:space="preserve">License document security features (watermarks, seals) appear artificial</t>
  </si>
  <si>
    <t xml:space="preserve">Known state license templates</t>
  </si>
  <si>
    <t xml:space="preserve">Seal and watermark authenticity model.</t>
  </si>
  <si>
    <t xml:space="preserve">Environmental</t>
  </si>
  <si>
    <t xml:space="preserve">Environmental
Reports (ESA)</t>
  </si>
  <si>
    <t xml:space="preserve">Environmental firm not found in business records or professional registries</t>
  </si>
  <si>
    <t xml:space="preserve">State environmental consultant registries</t>
  </si>
  <si>
    <t xml:space="preserve">Firm verification against professional registries.</t>
  </si>
  <si>
    <t xml:space="preserve">REC Concealment</t>
  </si>
  <si>
    <t xml:space="preserve">Recognized Environmental Conditions documented in EPA records but omitted from ESA</t>
  </si>
  <si>
    <t xml:space="preserve">EPA ECHO database, state environmental records</t>
  </si>
  <si>
    <t xml:space="preserve">EPA record cross-reference against ESA findings.</t>
  </si>
  <si>
    <t xml:space="preserve">Remediation Fraud</t>
  </si>
  <si>
    <t xml:space="preserve">Claims completed remediation with no closure letter from regulatory agency</t>
  </si>
  <si>
    <t xml:space="preserve">State environmental agency records</t>
  </si>
  <si>
    <t xml:space="preserve">Remediation status verification against state records.</t>
  </si>
  <si>
    <t xml:space="preserve">ESA dated &gt;12 months before application (conditions may have changed)</t>
  </si>
  <si>
    <t xml:space="preserve">Standard</t>
  </si>
  <si>
    <t xml:space="preserve">ESA doesn't comply with ASTM E1527 methodology</t>
  </si>
  <si>
    <t xml:space="preserve">ASTM E1527 requirements checklist</t>
  </si>
  <si>
    <t xml:space="preserve">Methodology section completeness check.</t>
  </si>
  <si>
    <t xml:space="preserve">Payroll / Tax</t>
  </si>
  <si>
    <t xml:space="preserve">Payroll Records
/ Tax Returns</t>
  </si>
  <si>
    <t xml:space="preserve">Payroll Fraud</t>
  </si>
  <si>
    <t xml:space="preserve">Form 941 quarterly totals don't reconcile to annual payroll on application</t>
  </si>
  <si>
    <t xml:space="preserve">ACORD 130, Form 940</t>
  </si>
  <si>
    <t xml:space="preserve">Quarterly sum vs. annual claim reconciliation.</t>
  </si>
  <si>
    <t xml:space="preserve">W-2 employee count doesn't match application headcount</t>
  </si>
  <si>
    <t xml:space="preserve">ACORD 125/130 employee counts</t>
  </si>
  <si>
    <t xml:space="preserve">Headcount extraction and comparison.</t>
  </si>
  <si>
    <t xml:space="preserve">Classification</t>
  </si>
  <si>
    <t xml:space="preserve">High-wage employees allocated to low-risk WC classifications</t>
  </si>
  <si>
    <t xml:space="preserve">Industry wage data by classification, BLS</t>
  </si>
  <si>
    <t xml:space="preserve">Wage-per-classification analysis vs. industry norms.</t>
  </si>
  <si>
    <t xml:space="preserve">Tax return formatting doesn't match IRS standard templates</t>
  </si>
  <si>
    <t xml:space="preserve">Known IRS form templates</t>
  </si>
  <si>
    <t xml:space="preserve">Template matching against IRS form layouts.</t>
  </si>
  <si>
    <t xml:space="preserve">Tax return PDF author is personal name, not tax software (TurboTax, Drake, etc.)</t>
  </si>
  <si>
    <t xml:space="preserve">Known tax software producer strings</t>
  </si>
  <si>
    <t xml:space="preserve">PDF producer validation against tax software signatures.</t>
  </si>
  <si>
    <t xml:space="preserve">Broker Letters</t>
  </si>
  <si>
    <t xml:space="preserve">Broker Submissions
/ Cover Letters</t>
  </si>
  <si>
    <t xml:space="preserve">Concealment</t>
  </si>
  <si>
    <t xml:space="preserve">Known prior losses not mentioned in broker narrative</t>
  </si>
  <si>
    <t xml:space="preserve">Loss runs, CLUE reports, application</t>
  </si>
  <si>
    <t xml:space="preserve">Loss event extraction from narrative; match to loss history docs.</t>
  </si>
  <si>
    <t xml:space="preserve">Prior coverage declinations not disclosed</t>
  </si>
  <si>
    <t xml:space="preserve">Market submissions log, prior apps</t>
  </si>
  <si>
    <t xml:space="preserve">Declination mention detection in narrative.</t>
  </si>
  <si>
    <t xml:space="preserve">Pressure Language</t>
  </si>
  <si>
    <t xml:space="preserve">Artificial urgency ('urgent', 'time-sensitive', 'need quick response')</t>
  </si>
  <si>
    <t xml:space="preserve">NLP sentiment/intent analysis</t>
  </si>
  <si>
    <t xml:space="preserve">Urgency keyword and pattern detection.</t>
  </si>
  <si>
    <t xml:space="preserve">Manipulation</t>
  </si>
  <si>
    <t xml:space="preserve">Directs underwriter to 'ignore' or 'overlook' application fields</t>
  </si>
  <si>
    <t xml:space="preserve">NLP intent detection</t>
  </si>
  <si>
    <t xml:space="preserve">Instruction detection model on broker narrative.</t>
  </si>
  <si>
    <t xml:space="preserve">Broker Fraud</t>
  </si>
  <si>
    <t xml:space="preserve">Broker not found in state producer licensing database</t>
  </si>
  <si>
    <t xml:space="preserve">State DOI, NIPR</t>
  </si>
  <si>
    <t xml:space="preserve">Producer license verification.</t>
  </si>
  <si>
    <t xml:space="preserve">Fleet Schedules</t>
  </si>
  <si>
    <t xml:space="preserve">Vehicles in use not listed on fleet schedule</t>
  </si>
  <si>
    <t xml:space="preserve">MVR records, registration records, prior carrier data</t>
  </si>
  <si>
    <t xml:space="preserve">Vehicle count reconciliation across docs.</t>
  </si>
  <si>
    <t xml:space="preserve">Value Fraud</t>
  </si>
  <si>
    <t xml:space="preserve">Vehicle values significantly exceed market value (KBB, NADA)</t>
  </si>
  <si>
    <t xml:space="preserve">KBB/NADA lookup by VIN/year/make/model</t>
  </si>
  <si>
    <t xml:space="preserve">API + Stats</t>
  </si>
  <si>
    <t xml:space="preserve">Automated value lookup and comparison.</t>
  </si>
  <si>
    <t xml:space="preserve">VIN Fraud</t>
  </si>
  <si>
    <t xml:space="preserve">VIN doesn't match stated year/make/model</t>
  </si>
  <si>
    <t xml:space="preserve">NHTSA VIN decoder</t>
  </si>
  <si>
    <t xml:space="preserve">VIN validation via NHTSA decoder API.</t>
  </si>
  <si>
    <t xml:space="preserve">Driver Mismatch</t>
  </si>
  <si>
    <t xml:space="preserve">Drivers assigned to vehicles without proper license class</t>
  </si>
  <si>
    <t xml:space="preserve">MVR data, vehicle type</t>
  </si>
  <si>
    <t xml:space="preserve">License class vs. vehicle classification matching.</t>
  </si>
  <si>
    <t xml:space="preserve">CROSS-DOCUMENT VALIDATION MATRIX</t>
  </si>
  <si>
    <t xml:space="preserve">What to compare against what — and when to flag it</t>
  </si>
  <si>
    <t xml:space="preserve">Validation Area</t>
  </si>
  <si>
    <t xml:space="preserve">Source Document(s)</t>
  </si>
  <si>
    <t xml:space="preserve">Compare Against</t>
  </si>
  <si>
    <t xml:space="preserve">Acceptable Variance</t>
  </si>
  <si>
    <t xml:space="preserve">Flag Threshold</t>
  </si>
  <si>
    <t xml:space="preserve">Action if Flagged</t>
  </si>
  <si>
    <t xml:space="preserve">Revenue</t>
  </si>
  <si>
    <t xml:space="preserve">ACORD 125 revenue field</t>
  </si>
  <si>
    <t xml:space="preserve">Financial statements (income stmt)</t>
  </si>
  <si>
    <t xml:space="preserve">±10%</t>
  </si>
  <si>
    <t xml:space="preserve">&gt;15% = HIGH
&gt;25% = CRITICAL</t>
  </si>
  <si>
    <t xml:space="preserve">Escalate to SIU; request tax returns for reconciliation</t>
  </si>
  <si>
    <t xml:space="preserve">Financial statements</t>
  </si>
  <si>
    <t xml:space="preserve">Tax returns (Sched C / 1120)</t>
  </si>
  <si>
    <t xml:space="preserve">±5%</t>
  </si>
  <si>
    <t xml:space="preserve">&gt;10% = HIGH
&gt;20% = CRITICAL</t>
  </si>
  <si>
    <t xml:space="preserve">Request explanation; compare against bank statements</t>
  </si>
  <si>
    <t xml:space="preserve">Payroll (WC)</t>
  </si>
  <si>
    <t xml:space="preserve">ACORD 130 total payroll</t>
  </si>
  <si>
    <t xml:space="preserve">Form 941 quarterly totals (sum)</t>
  </si>
  <si>
    <t xml:space="preserve">±$500</t>
  </si>
  <si>
    <t xml:space="preserve">&gt;$2,000 = HIGH
&gt;10% = CRITICAL</t>
  </si>
  <si>
    <t xml:space="preserve">Payroll audit trigger; request W-2 transmittals</t>
  </si>
  <si>
    <t xml:space="preserve">ACORD 130 by classification</t>
  </si>
  <si>
    <t xml:space="preserve">BLS wage data by job code</t>
  </si>
  <si>
    <t xml:space="preserve">Within industry range</t>
  </si>
  <si>
    <t xml:space="preserve">Per-head &lt;$25K or &gt;$80K for class = HIGH</t>
  </si>
  <si>
    <t xml:space="preserve">Classification review; request job descriptions</t>
  </si>
  <si>
    <t xml:space="preserve">Employee Count</t>
  </si>
  <si>
    <t xml:space="preserve">ACORD 125/130 headcount</t>
  </si>
  <si>
    <t xml:space="preserve">W-2 count, Form 941 count</t>
  </si>
  <si>
    <t xml:space="preserve">±1 employee</t>
  </si>
  <si>
    <t xml:space="preserve">&gt;2 employees = HIGH</t>
  </si>
  <si>
    <t xml:space="preserve">Ghost employee investigation</t>
  </si>
  <si>
    <t xml:space="preserve">Loss runs (submitted)</t>
  </si>
  <si>
    <t xml:space="preserve">CLUE reports</t>
  </si>
  <si>
    <t xml:space="preserve">Exact match on claim count</t>
  </si>
  <si>
    <t xml:space="preserve">Any omitted claim = CRITICAL</t>
  </si>
  <si>
    <t xml:space="preserve">Direct carrier verification of all claims</t>
  </si>
  <si>
    <t xml:space="preserve">ACORD 125 loss disclosure</t>
  </si>
  <si>
    <t xml:space="preserve">Loss runs + CLUE</t>
  </si>
  <si>
    <t xml:space="preserve">Consistent</t>
  </si>
  <si>
    <t xml:space="preserve">Any undisclosed loss = HIGH</t>
  </si>
  <si>
    <t xml:space="preserve">Escalate; request loss run directly from carrier</t>
  </si>
  <si>
    <t xml:space="preserve">E-Mod worksheet claims</t>
  </si>
  <si>
    <t xml:space="preserve">Loss runs from carriers</t>
  </si>
  <si>
    <t xml:space="preserve">Claim-by-claim match</t>
  </si>
  <si>
    <t xml:space="preserve">Any mismatch = HIGH</t>
  </si>
  <si>
    <t xml:space="preserve">NCCI verification; carrier callback</t>
  </si>
  <si>
    <t xml:space="preserve">Property Values</t>
  </si>
  <si>
    <t xml:space="preserve">ACORD 140 insured values</t>
  </si>
  <si>
    <t xml:space="preserve">Tax assessor records</t>
  </si>
  <si>
    <t xml:space="preserve">Insured = 1.3-1.5x assessed</t>
  </si>
  <si>
    <t xml:space="preserve">&gt;2x assessed = HIGH
&gt;3x = CRITICAL</t>
  </si>
  <si>
    <t xml:space="preserve">Independent appraisal required</t>
  </si>
  <si>
    <t xml:space="preserve">ACORD 140 contents value</t>
  </si>
  <si>
    <t xml:space="preserve">Building value x industry ratio</t>
  </si>
  <si>
    <t xml:space="preserve">Retail 20-40%, Mfg 30-60%</t>
  </si>
  <si>
    <t xml:space="preserve">Ratio outside range = HIGH</t>
  </si>
  <si>
    <t xml:space="preserve">Contents inventory required</t>
  </si>
  <si>
    <t xml:space="preserve">Property Condition</t>
  </si>
  <si>
    <t xml:space="preserve">Inspection report condition</t>
  </si>
  <si>
    <t xml:space="preserve">Google Earth / Street View</t>
  </si>
  <si>
    <t xml:space="preserve">Visible contradiction = HIGH</t>
  </si>
  <si>
    <t xml:space="preserve">Physical re-inspection required</t>
  </si>
  <si>
    <t xml:space="preserve">COI Coverage</t>
  </si>
  <si>
    <t xml:space="preserve">COI policy number + dates</t>
  </si>
  <si>
    <t xml:space="preserve">Direct carrier verification</t>
  </si>
  <si>
    <t xml:space="preserve">Exact match</t>
  </si>
  <si>
    <t xml:space="preserve">No match = CRITICAL</t>
  </si>
  <si>
    <t xml:space="preserve">Decline submission; report to SIU</t>
  </si>
  <si>
    <t xml:space="preserve">COI coverage limits</t>
  </si>
  <si>
    <t xml:space="preserve">Application revenue + ops</t>
  </si>
  <si>
    <t xml:space="preserve">Adequate per industry</t>
  </si>
  <si>
    <t xml:space="preserve">Limits &lt; minimum = HIGH</t>
  </si>
  <si>
    <t xml:space="preserve">Request adequate coverage evidence</t>
  </si>
  <si>
    <t xml:space="preserve">Entity Status</t>
  </si>
  <si>
    <t xml:space="preserve">Articles of Incorporation</t>
  </si>
  <si>
    <t xml:space="preserve">Secretary of State records</t>
  </si>
  <si>
    <t xml:space="preserve">Active status; matching names</t>
  </si>
  <si>
    <t xml:space="preserve">Inactive/dissolved = CRITICAL</t>
  </si>
  <si>
    <t xml:space="preserve">Decline submission</t>
  </si>
  <si>
    <t xml:space="preserve">Entity Age</t>
  </si>
  <si>
    <t xml:space="preserve">Incorporation date</t>
  </si>
  <si>
    <t xml:space="preserve">Application start date</t>
  </si>
  <si>
    <t xml:space="preserve">&lt;2 years = flag</t>
  </si>
  <si>
    <t xml:space="preserve">&lt;1 year + mature ops = CRITICAL</t>
  </si>
  <si>
    <t xml:space="preserve">Enhanced due diligence required</t>
  </si>
  <si>
    <t xml:space="preserve">Beneficial Owner</t>
  </si>
  <si>
    <t xml:space="preserve">Officer names in entity docs</t>
  </si>
  <si>
    <t xml:space="preserve">Cross-MGA submission database</t>
  </si>
  <si>
    <t xml:space="preserve">No overlap expected</t>
  </si>
  <si>
    <t xml:space="preserve">Same owner, unrelated subs = CRITICAL</t>
  </si>
  <si>
    <t xml:space="preserve">Fraud ring investigation</t>
  </si>
  <si>
    <t xml:space="preserve">Driver Records</t>
  </si>
  <si>
    <t xml:space="preserve">MVR driving history</t>
  </si>
  <si>
    <t xml:space="preserve">CLUE auto claims</t>
  </si>
  <si>
    <t xml:space="preserve">Violations on CLUE not on MVR = HIGH</t>
  </si>
  <si>
    <t xml:space="preserve">Direct DMV verification</t>
  </si>
  <si>
    <t xml:space="preserve">License Class</t>
  </si>
  <si>
    <t xml:space="preserve">MVR license class</t>
  </si>
  <si>
    <t xml:space="preserve">Fleet schedule vehicle types</t>
  </si>
  <si>
    <t xml:space="preserve">CDL for commercial</t>
  </si>
  <si>
    <t xml:space="preserve">Non-CDL for commercial = HIGH</t>
  </si>
  <si>
    <t xml:space="preserve">Coverage restriction or decline</t>
  </si>
  <si>
    <t xml:space="preserve">Broker License</t>
  </si>
  <si>
    <t xml:space="preserve">Broker name on cover letter</t>
  </si>
  <si>
    <t xml:space="preserve">NIPR / State DOI database</t>
  </si>
  <si>
    <t xml:space="preserve">Active license</t>
  </si>
  <si>
    <t xml:space="preserve">No license = CRITICAL</t>
  </si>
  <si>
    <t xml:space="preserve">Report to state DOI; decline submission</t>
  </si>
  <si>
    <t xml:space="preserve">Affidavit of unavailability</t>
  </si>
  <si>
    <t xml:space="preserve">Admitted market quotes in file</t>
  </si>
  <si>
    <t xml:space="preserve">No admitted coverage available</t>
  </si>
  <si>
    <t xml:space="preserve">Admitted quotes present = CRITICAL</t>
  </si>
  <si>
    <t xml:space="preserve">Regulatory filing review; report to DOI</t>
  </si>
  <si>
    <t xml:space="preserve">DETECTION METHOD TAXONOMY</t>
  </si>
  <si>
    <t xml:space="preserve">Method</t>
  </si>
  <si>
    <t xml:space="preserve">Description</t>
  </si>
  <si>
    <t xml:space="preserve">Example Use Cases</t>
  </si>
  <si>
    <t xml:space="preserve">Implementation Phase</t>
  </si>
  <si>
    <t xml:space="preserve">Natural language processing to extract and compare data fields across multiple documents</t>
  </si>
  <si>
    <t xml:space="preserve">Revenue matching (app vs. financials), payroll reconciliation (app vs. 941), loss count comparison</t>
  </si>
  <si>
    <t xml:space="preserve">Phase 1 (MVP)</t>
  </si>
  <si>
    <t xml:space="preserve">PDF metadata analysis, font extraction, image forensics, producer tag validation</t>
  </si>
  <si>
    <t xml:space="preserve">PDF creation date validation, font consistency checks, author/producer verification</t>
  </si>
  <si>
    <t xml:space="preserve">Deterministic business rules and date/value comparisons</t>
  </si>
  <si>
    <t xml:space="preserve">Coverage date validation, license class matching, geographic impossibility checks</t>
  </si>
  <si>
    <t xml:space="preserve">Anomaly detection, ratio analysis, round-number detection, industry benchmark comparison</t>
  </si>
  <si>
    <t xml:space="preserve">Revenue growth outliers, payroll-per-head analysis, value-to-assessed ratio</t>
  </si>
  <si>
    <t xml:space="preserve">Date sequence analysis, proximity scoring, gap detection</t>
  </si>
  <si>
    <t xml:space="preserve">Coverage gaps, claim timing clusters, filing date validation</t>
  </si>
  <si>
    <t xml:space="preserve">Business registry verification, web presence scoring, address classification</t>
  </si>
  <si>
    <t xml:space="preserve">SOS lookup, EIN validation, thin-file scoring, virtual office detection</t>
  </si>
  <si>
    <t xml:space="preserve">Phase 2</t>
  </si>
  <si>
    <t xml:space="preserve">Computer vision for document template matching, photo manipulation detection, condition assessment</t>
  </si>
  <si>
    <t xml:space="preserve">ELA analysis, EXIF verification, satellite comparison, seal authenticity</t>
  </si>
  <si>
    <t xml:space="preserve">Intent detection, sentiment analysis, concealment language detection in narratives</t>
  </si>
  <si>
    <t xml:space="preserve">Broker pressure language, urgency detection, omission identification in cover letters</t>
  </si>
  <si>
    <t xml:space="preserve">Direct verification against authoritative external databases</t>
  </si>
  <si>
    <t xml:space="preserve">Carrier policy verification, DMV lookup, NIPR license check, NHTSA VIN decoder</t>
  </si>
  <si>
    <t xml:space="preserve">Cross-submission entity resolution and relationship mapping</t>
  </si>
  <si>
    <t xml:space="preserve">Fraud ring detection, shared beneficial owners, repeated agent patterns</t>
  </si>
  <si>
    <t xml:space="preserve">Phase 3 (Moat)</t>
  </si>
  <si>
    <t xml:space="preserve">Longitudinal pattern analysis across submissions and time</t>
  </si>
  <si>
    <t xml:space="preserve">Agent submission quality trends, claim timing patterns, seasonal anomalies</t>
  </si>
  <si>
    <t xml:space="preserve">Phase 3</t>
  </si>
  <si>
    <t xml:space="preserve">Financial ratio calculations with industry comparison</t>
  </si>
  <si>
    <t xml:space="preserve">DSO trends, COGS margins, A/R-to-revenue, profit margin benchmarking</t>
  </si>
  <si>
    <t xml:space="preserve">SEVERITY CLASSIFICATION FRAMEWORK</t>
  </si>
  <si>
    <t xml:space="preserve">Definition</t>
  </si>
  <si>
    <t xml:space="preserve">Required Action</t>
  </si>
  <si>
    <t xml:space="preserve">SLA / Response Time</t>
  </si>
  <si>
    <t xml:space="preserve">Document appears forged or fabricated. Material fact concealment with clear fraudulent intent. Cross-document discrepancies &gt;30%. Identity fraud indicators.</t>
  </si>
  <si>
    <t xml:space="preserve">Immediate escalation to SIU. Submission hold. Direct verification with carrier/authority. Consider filing SAR.</t>
  </si>
  <si>
    <t xml:space="preserve">&lt; 2 hours</t>
  </si>
  <si>
    <t xml:space="preserve">Significant misrepresentation (15-30% discrepancy). Material omissions. Classification fraud. License/credential failures. Metadata tampering detected.</t>
  </si>
  <si>
    <t xml:space="preserve">Escalate to senior underwriter + SIU review queue. Request additional documentation. Enhanced due diligence.</t>
  </si>
  <si>
    <t xml:space="preserve">&lt; 24 hours</t>
  </si>
  <si>
    <t xml:space="preserve">Discrepancies 5-15% with reasonable explanations possible. Minor documentation gaps. Metadata anomalies with alternative explanations.</t>
  </si>
  <si>
    <t xml:space="preserve">Flag for underwriter review. Request clarification or additional supporting documents. Conditional approval gate.</t>
  </si>
  <si>
    <t xml:space="preserve">&lt; 48 hours</t>
  </si>
  <si>
    <t xml:space="preserve">LOW</t>
  </si>
  <si>
    <t xml:space="preserve">Formatting inconsistencies. Minor font/style variations. Non-critical field discrepancies. Information quality issues not affecting content.</t>
  </si>
  <si>
    <t xml:space="preserve">Log for pattern analysis. No action required on individual submission. Aggregate for agent quality scoring.</t>
  </si>
  <si>
    <t xml:space="preserve">Informational only</t>
  </si>
  <si>
    <t xml:space="preserve">CHECKLIST SUMMARY</t>
  </si>
  <si>
    <t xml:space="preserve">Metric</t>
  </si>
  <si>
    <t xml:space="preserve">Total</t>
  </si>
  <si>
    <t xml:space="preserve">Total Fraud Indicators</t>
  </si>
  <si>
    <t xml:space="preserve">By Document Type</t>
  </si>
  <si>
    <t xml:space="preserve">Financial Statements</t>
  </si>
  <si>
    <t xml:space="preserve">Certificates of</t>
  </si>
  <si>
    <t xml:space="preserve">Business Entity</t>
  </si>
  <si>
    <t xml:space="preserve">Property Inspection</t>
  </si>
  <si>
    <t xml:space="preserve">Schedules of</t>
  </si>
  <si>
    <t xml:space="preserve">Professional</t>
  </si>
  <si>
    <t xml:space="preserve">Payroll Records</t>
  </si>
  <si>
    <t xml:space="preserve">Broker Submissions</t>
  </si>
  <si>
    <t xml:space="preserve">TOTAL</t>
  </si>
  <si>
    <t xml:space="preserve">By Detection Method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</si>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</sst>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510A1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510A1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2563EB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9"/>
      <color rgb="FF7510A1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7510A1"/>
        <bgColor rgb="FF800080"/>
      </patternFill>
    </fill>
    <fill>
      <patternFill patternType="solid">
        <fgColor rgb="FFF3E8FF"/>
        <bgColor rgb="FFE5E7EB"/>
      </patternFill>
    </fill>
    <fill>
      <patternFill patternType="solid">
        <fgColor rgb="FFF9FAFB"/>
        <bgColor rgb="FFFFFFFF"/>
      </patternFill>
    </fill>
    <fill>
      <patternFill patternType="solid">
        <fgColor rgb="FFFEE2E2"/>
        <bgColor rgb="FFF3E8FF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E5E7EB"/>
      </patternFill>
    </fill>
    <fill>
      <patternFill patternType="solid">
        <fgColor rgb="FFDCFCE7"/>
        <bgColor rgb="FFDBEA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7510A1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510A1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F3E8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5E7EB"/>
      <rgbColor rgb="FFF9FAFB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10A1"/>
    <pageSetUpPr fitToPage="false"/>
  </sheetPr>
  <dimension ref="A1:G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3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/>
      <c r="C5" s="5"/>
      <c r="D5" s="5"/>
      <c r="E5" s="5"/>
      <c r="F5" s="5"/>
      <c r="G5" s="5"/>
    </row>
    <row r="6" customFormat="false" ht="22.35" hidden="false" customHeight="false" outlineLevel="0" collapsed="false">
      <c r="A6" s="6" t="s">
        <v>10</v>
      </c>
      <c r="B6" s="6" t="s">
        <v>11</v>
      </c>
      <c r="C6" s="6" t="s">
        <v>12</v>
      </c>
      <c r="D6" s="6" t="s">
        <v>13</v>
      </c>
      <c r="E6" s="7" t="s">
        <v>14</v>
      </c>
      <c r="F6" s="6" t="s">
        <v>15</v>
      </c>
      <c r="G6" s="6" t="s">
        <v>16</v>
      </c>
    </row>
    <row r="7" customFormat="false" ht="22.35" hidden="false" customHeight="false" outlineLevel="0" collapsed="false">
      <c r="A7" s="8"/>
      <c r="B7" s="8" t="s">
        <v>11</v>
      </c>
      <c r="C7" s="8" t="s">
        <v>17</v>
      </c>
      <c r="D7" s="8" t="s">
        <v>18</v>
      </c>
      <c r="E7" s="9" t="s">
        <v>19</v>
      </c>
      <c r="F7" s="8" t="s">
        <v>20</v>
      </c>
      <c r="G7" s="8" t="s">
        <v>21</v>
      </c>
    </row>
    <row r="8" customFormat="false" ht="22.35" hidden="false" customHeight="false" outlineLevel="0" collapsed="false">
      <c r="A8" s="6"/>
      <c r="B8" s="6" t="s">
        <v>22</v>
      </c>
      <c r="C8" s="6" t="s">
        <v>23</v>
      </c>
      <c r="D8" s="6" t="s">
        <v>24</v>
      </c>
      <c r="E8" s="7" t="s">
        <v>14</v>
      </c>
      <c r="F8" s="6" t="s">
        <v>15</v>
      </c>
      <c r="G8" s="6" t="s">
        <v>25</v>
      </c>
    </row>
    <row r="9" customFormat="false" ht="15" hidden="false" customHeight="false" outlineLevel="0" collapsed="false">
      <c r="A9" s="8"/>
      <c r="B9" s="8" t="s">
        <v>22</v>
      </c>
      <c r="C9" s="8" t="s">
        <v>26</v>
      </c>
      <c r="D9" s="8" t="s">
        <v>27</v>
      </c>
      <c r="E9" s="9" t="s">
        <v>19</v>
      </c>
      <c r="F9" s="8" t="s">
        <v>28</v>
      </c>
      <c r="G9" s="8" t="s">
        <v>29</v>
      </c>
    </row>
    <row r="10" customFormat="false" ht="22.35" hidden="false" customHeight="false" outlineLevel="0" collapsed="false">
      <c r="A10" s="6"/>
      <c r="B10" s="6" t="s">
        <v>30</v>
      </c>
      <c r="C10" s="6" t="s">
        <v>31</v>
      </c>
      <c r="D10" s="6" t="s">
        <v>32</v>
      </c>
      <c r="E10" s="9" t="s">
        <v>19</v>
      </c>
      <c r="F10" s="6" t="s">
        <v>33</v>
      </c>
      <c r="G10" s="6" t="s">
        <v>34</v>
      </c>
    </row>
    <row r="11" customFormat="false" ht="22.35" hidden="false" customHeight="false" outlineLevel="0" collapsed="false">
      <c r="A11" s="8"/>
      <c r="B11" s="8" t="s">
        <v>30</v>
      </c>
      <c r="C11" s="8" t="s">
        <v>35</v>
      </c>
      <c r="D11" s="8" t="s">
        <v>36</v>
      </c>
      <c r="E11" s="10" t="s">
        <v>37</v>
      </c>
      <c r="F11" s="8" t="s">
        <v>33</v>
      </c>
      <c r="G11" s="8" t="s">
        <v>38</v>
      </c>
    </row>
    <row r="12" customFormat="false" ht="22.35" hidden="false" customHeight="false" outlineLevel="0" collapsed="false">
      <c r="A12" s="6"/>
      <c r="B12" s="6" t="s">
        <v>30</v>
      </c>
      <c r="C12" s="6" t="s">
        <v>39</v>
      </c>
      <c r="D12" s="6" t="s">
        <v>40</v>
      </c>
      <c r="E12" s="10" t="s">
        <v>37</v>
      </c>
      <c r="F12" s="6" t="s">
        <v>33</v>
      </c>
      <c r="G12" s="6" t="s">
        <v>41</v>
      </c>
    </row>
    <row r="13" customFormat="false" ht="22.35" hidden="false" customHeight="false" outlineLevel="0" collapsed="false">
      <c r="A13" s="8"/>
      <c r="B13" s="8" t="s">
        <v>42</v>
      </c>
      <c r="C13" s="8" t="s">
        <v>43</v>
      </c>
      <c r="D13" s="8" t="s">
        <v>44</v>
      </c>
      <c r="E13" s="9" t="s">
        <v>19</v>
      </c>
      <c r="F13" s="8" t="s">
        <v>45</v>
      </c>
      <c r="G13" s="8" t="s">
        <v>46</v>
      </c>
    </row>
    <row r="14" customFormat="false" ht="22.35" hidden="false" customHeight="false" outlineLevel="0" collapsed="false">
      <c r="A14" s="6"/>
      <c r="B14" s="6" t="s">
        <v>42</v>
      </c>
      <c r="C14" s="6" t="s">
        <v>47</v>
      </c>
      <c r="D14" s="6" t="s">
        <v>48</v>
      </c>
      <c r="E14" s="10" t="s">
        <v>37</v>
      </c>
      <c r="F14" s="6" t="s">
        <v>45</v>
      </c>
      <c r="G14" s="6" t="s">
        <v>49</v>
      </c>
    </row>
    <row r="15" customFormat="false" ht="22.35" hidden="false" customHeight="false" outlineLevel="0" collapsed="false">
      <c r="A15" s="8"/>
      <c r="B15" s="8" t="s">
        <v>20</v>
      </c>
      <c r="C15" s="8" t="s">
        <v>50</v>
      </c>
      <c r="D15" s="8" t="s">
        <v>51</v>
      </c>
      <c r="E15" s="10" t="s">
        <v>37</v>
      </c>
      <c r="F15" s="8" t="s">
        <v>52</v>
      </c>
      <c r="G15" s="8" t="s">
        <v>53</v>
      </c>
    </row>
    <row r="16" customFormat="false" ht="15" hidden="false" customHeight="false" outlineLevel="0" collapsed="false">
      <c r="A16" s="4" t="s">
        <v>54</v>
      </c>
      <c r="B16" s="5"/>
      <c r="C16" s="5"/>
      <c r="D16" s="5"/>
      <c r="E16" s="5"/>
      <c r="F16" s="5"/>
      <c r="G16" s="5"/>
    </row>
    <row r="17" customFormat="false" ht="22.35" hidden="false" customHeight="false" outlineLevel="0" collapsed="false">
      <c r="A17" s="8" t="s">
        <v>55</v>
      </c>
      <c r="B17" s="8" t="s">
        <v>56</v>
      </c>
      <c r="C17" s="8" t="s">
        <v>57</v>
      </c>
      <c r="D17" s="8" t="s">
        <v>58</v>
      </c>
      <c r="E17" s="7" t="s">
        <v>14</v>
      </c>
      <c r="F17" s="8" t="s">
        <v>15</v>
      </c>
      <c r="G17" s="8" t="s">
        <v>59</v>
      </c>
    </row>
    <row r="18" customFormat="false" ht="22.35" hidden="false" customHeight="false" outlineLevel="0" collapsed="false">
      <c r="A18" s="6"/>
      <c r="B18" s="6" t="s">
        <v>56</v>
      </c>
      <c r="C18" s="6" t="s">
        <v>60</v>
      </c>
      <c r="D18" s="6" t="s">
        <v>61</v>
      </c>
      <c r="E18" s="9" t="s">
        <v>19</v>
      </c>
      <c r="F18" s="6" t="s">
        <v>20</v>
      </c>
      <c r="G18" s="6" t="s">
        <v>62</v>
      </c>
    </row>
    <row r="19" customFormat="false" ht="22.35" hidden="false" customHeight="false" outlineLevel="0" collapsed="false">
      <c r="A19" s="8"/>
      <c r="B19" s="8" t="s">
        <v>63</v>
      </c>
      <c r="C19" s="8" t="s">
        <v>64</v>
      </c>
      <c r="D19" s="8" t="s">
        <v>65</v>
      </c>
      <c r="E19" s="7" t="s">
        <v>14</v>
      </c>
      <c r="F19" s="8" t="s">
        <v>66</v>
      </c>
      <c r="G19" s="8" t="s">
        <v>67</v>
      </c>
    </row>
    <row r="20" customFormat="false" ht="22.35" hidden="false" customHeight="false" outlineLevel="0" collapsed="false">
      <c r="A20" s="6"/>
      <c r="B20" s="6" t="s">
        <v>63</v>
      </c>
      <c r="C20" s="6" t="s">
        <v>68</v>
      </c>
      <c r="D20" s="6" t="s">
        <v>69</v>
      </c>
      <c r="E20" s="9" t="s">
        <v>19</v>
      </c>
      <c r="F20" s="6" t="s">
        <v>20</v>
      </c>
      <c r="G20" s="6" t="s">
        <v>70</v>
      </c>
    </row>
    <row r="21" customFormat="false" ht="22.35" hidden="false" customHeight="false" outlineLevel="0" collapsed="false">
      <c r="A21" s="8"/>
      <c r="B21" s="8" t="s">
        <v>71</v>
      </c>
      <c r="C21" s="8" t="s">
        <v>72</v>
      </c>
      <c r="D21" s="8" t="s">
        <v>73</v>
      </c>
      <c r="E21" s="9" t="s">
        <v>19</v>
      </c>
      <c r="F21" s="8" t="s">
        <v>15</v>
      </c>
      <c r="G21" s="8" t="s">
        <v>74</v>
      </c>
    </row>
    <row r="22" customFormat="false" ht="22.35" hidden="false" customHeight="false" outlineLevel="0" collapsed="false">
      <c r="A22" s="6"/>
      <c r="B22" s="6" t="s">
        <v>75</v>
      </c>
      <c r="C22" s="6" t="s">
        <v>76</v>
      </c>
      <c r="D22" s="6" t="s">
        <v>77</v>
      </c>
      <c r="E22" s="7" t="s">
        <v>14</v>
      </c>
      <c r="F22" s="6" t="s">
        <v>15</v>
      </c>
      <c r="G22" s="6" t="s">
        <v>78</v>
      </c>
    </row>
    <row r="23" customFormat="false" ht="22.35" hidden="false" customHeight="false" outlineLevel="0" collapsed="false">
      <c r="A23" s="8"/>
      <c r="B23" s="8" t="s">
        <v>28</v>
      </c>
      <c r="C23" s="8" t="s">
        <v>79</v>
      </c>
      <c r="D23" s="8" t="s">
        <v>80</v>
      </c>
      <c r="E23" s="10" t="s">
        <v>37</v>
      </c>
      <c r="F23" s="8" t="s">
        <v>28</v>
      </c>
      <c r="G23" s="8" t="s">
        <v>81</v>
      </c>
    </row>
    <row r="24" customFormat="false" ht="15" hidden="false" customHeight="false" outlineLevel="0" collapsed="false">
      <c r="A24" s="4" t="s">
        <v>82</v>
      </c>
      <c r="B24" s="5"/>
      <c r="C24" s="5"/>
      <c r="D24" s="5"/>
      <c r="E24" s="5"/>
      <c r="F24" s="5"/>
      <c r="G24" s="5"/>
    </row>
    <row r="25" customFormat="false" ht="22.35" hidden="false" customHeight="false" outlineLevel="0" collapsed="false">
      <c r="A25" s="8" t="s">
        <v>83</v>
      </c>
      <c r="B25" s="8" t="s">
        <v>84</v>
      </c>
      <c r="C25" s="8" t="s">
        <v>85</v>
      </c>
      <c r="D25" s="8" t="s">
        <v>86</v>
      </c>
      <c r="E25" s="7" t="s">
        <v>14</v>
      </c>
      <c r="F25" s="8" t="s">
        <v>20</v>
      </c>
      <c r="G25" s="8" t="s">
        <v>87</v>
      </c>
    </row>
    <row r="26" customFormat="false" ht="22.35" hidden="false" customHeight="false" outlineLevel="0" collapsed="false">
      <c r="A26" s="6"/>
      <c r="B26" s="6" t="s">
        <v>84</v>
      </c>
      <c r="C26" s="6" t="s">
        <v>88</v>
      </c>
      <c r="D26" s="6" t="s">
        <v>89</v>
      </c>
      <c r="E26" s="9" t="s">
        <v>19</v>
      </c>
      <c r="F26" s="6" t="s">
        <v>20</v>
      </c>
      <c r="G26" s="6" t="s">
        <v>90</v>
      </c>
    </row>
    <row r="27" customFormat="false" ht="22.35" hidden="false" customHeight="false" outlineLevel="0" collapsed="false">
      <c r="A27" s="8"/>
      <c r="B27" s="8" t="s">
        <v>84</v>
      </c>
      <c r="C27" s="8" t="s">
        <v>91</v>
      </c>
      <c r="D27" s="8" t="s">
        <v>92</v>
      </c>
      <c r="E27" s="10" t="s">
        <v>37</v>
      </c>
      <c r="F27" s="8" t="s">
        <v>20</v>
      </c>
      <c r="G27" s="8" t="s">
        <v>93</v>
      </c>
    </row>
    <row r="28" customFormat="false" ht="22.35" hidden="false" customHeight="false" outlineLevel="0" collapsed="false">
      <c r="A28" s="6"/>
      <c r="B28" s="6" t="s">
        <v>94</v>
      </c>
      <c r="C28" s="6" t="s">
        <v>95</v>
      </c>
      <c r="D28" s="6" t="s">
        <v>96</v>
      </c>
      <c r="E28" s="7" t="s">
        <v>14</v>
      </c>
      <c r="F28" s="6" t="s">
        <v>97</v>
      </c>
      <c r="G28" s="6" t="s">
        <v>98</v>
      </c>
    </row>
    <row r="29" customFormat="false" ht="22.35" hidden="false" customHeight="false" outlineLevel="0" collapsed="false">
      <c r="A29" s="8"/>
      <c r="B29" s="8" t="s">
        <v>99</v>
      </c>
      <c r="C29" s="8" t="s">
        <v>100</v>
      </c>
      <c r="D29" s="8" t="s">
        <v>101</v>
      </c>
      <c r="E29" s="9" t="s">
        <v>19</v>
      </c>
      <c r="F29" s="8" t="s">
        <v>97</v>
      </c>
      <c r="G29" s="8" t="s">
        <v>102</v>
      </c>
    </row>
    <row r="30" customFormat="false" ht="22.35" hidden="false" customHeight="false" outlineLevel="0" collapsed="false">
      <c r="A30" s="6"/>
      <c r="B30" s="6" t="s">
        <v>28</v>
      </c>
      <c r="C30" s="6" t="s">
        <v>103</v>
      </c>
      <c r="D30" s="6" t="s">
        <v>104</v>
      </c>
      <c r="E30" s="9" t="s">
        <v>19</v>
      </c>
      <c r="F30" s="6" t="s">
        <v>28</v>
      </c>
      <c r="G30" s="6" t="s">
        <v>105</v>
      </c>
    </row>
    <row r="31" customFormat="false" ht="22.35" hidden="false" customHeight="false" outlineLevel="0" collapsed="false">
      <c r="A31" s="8"/>
      <c r="B31" s="8" t="s">
        <v>106</v>
      </c>
      <c r="C31" s="8" t="s">
        <v>107</v>
      </c>
      <c r="D31" s="8" t="s">
        <v>108</v>
      </c>
      <c r="E31" s="7" t="s">
        <v>14</v>
      </c>
      <c r="F31" s="8" t="s">
        <v>109</v>
      </c>
      <c r="G31" s="8" t="s">
        <v>110</v>
      </c>
    </row>
    <row r="32" customFormat="false" ht="15" hidden="false" customHeight="false" outlineLevel="0" collapsed="false">
      <c r="A32" s="4" t="s">
        <v>111</v>
      </c>
      <c r="B32" s="5"/>
      <c r="C32" s="5"/>
      <c r="D32" s="5"/>
      <c r="E32" s="5"/>
      <c r="F32" s="5"/>
      <c r="G32" s="5"/>
    </row>
    <row r="33" customFormat="false" ht="22.35" hidden="false" customHeight="false" outlineLevel="0" collapsed="false">
      <c r="A33" s="8" t="s">
        <v>112</v>
      </c>
      <c r="B33" s="8" t="s">
        <v>113</v>
      </c>
      <c r="C33" s="8" t="s">
        <v>114</v>
      </c>
      <c r="D33" s="8" t="s">
        <v>115</v>
      </c>
      <c r="E33" s="7" t="s">
        <v>14</v>
      </c>
      <c r="F33" s="8" t="s">
        <v>116</v>
      </c>
      <c r="G33" s="8" t="s">
        <v>117</v>
      </c>
    </row>
    <row r="34" customFormat="false" ht="22.35" hidden="false" customHeight="false" outlineLevel="0" collapsed="false">
      <c r="A34" s="6"/>
      <c r="B34" s="6" t="s">
        <v>113</v>
      </c>
      <c r="C34" s="6" t="s">
        <v>118</v>
      </c>
      <c r="D34" s="6" t="s">
        <v>119</v>
      </c>
      <c r="E34" s="7" t="s">
        <v>14</v>
      </c>
      <c r="F34" s="6" t="s">
        <v>52</v>
      </c>
      <c r="G34" s="6" t="s">
        <v>120</v>
      </c>
    </row>
    <row r="35" customFormat="false" ht="22.35" hidden="false" customHeight="false" outlineLevel="0" collapsed="false">
      <c r="A35" s="8"/>
      <c r="B35" s="8" t="s">
        <v>121</v>
      </c>
      <c r="C35" s="8" t="s">
        <v>122</v>
      </c>
      <c r="D35" s="8" t="s">
        <v>123</v>
      </c>
      <c r="E35" s="7" t="s">
        <v>14</v>
      </c>
      <c r="F35" s="8" t="s">
        <v>15</v>
      </c>
      <c r="G35" s="8" t="s">
        <v>124</v>
      </c>
    </row>
    <row r="36" customFormat="false" ht="22.35" hidden="false" customHeight="false" outlineLevel="0" collapsed="false">
      <c r="A36" s="6"/>
      <c r="B36" s="6" t="s">
        <v>125</v>
      </c>
      <c r="C36" s="6" t="s">
        <v>126</v>
      </c>
      <c r="D36" s="6" t="s">
        <v>127</v>
      </c>
      <c r="E36" s="9" t="s">
        <v>19</v>
      </c>
      <c r="F36" s="6" t="s">
        <v>28</v>
      </c>
      <c r="G36" s="6" t="s">
        <v>128</v>
      </c>
    </row>
    <row r="37" customFormat="false" ht="22.35" hidden="false" customHeight="false" outlineLevel="0" collapsed="false">
      <c r="A37" s="8"/>
      <c r="B37" s="8" t="s">
        <v>30</v>
      </c>
      <c r="C37" s="8" t="s">
        <v>129</v>
      </c>
      <c r="D37" s="8" t="s">
        <v>130</v>
      </c>
      <c r="E37" s="9" t="s">
        <v>19</v>
      </c>
      <c r="F37" s="8" t="s">
        <v>33</v>
      </c>
      <c r="G37" s="8" t="s">
        <v>131</v>
      </c>
    </row>
    <row r="38" customFormat="false" ht="22.35" hidden="false" customHeight="false" outlineLevel="0" collapsed="false">
      <c r="A38" s="6"/>
      <c r="B38" s="6" t="s">
        <v>30</v>
      </c>
      <c r="C38" s="6" t="s">
        <v>132</v>
      </c>
      <c r="D38" s="6" t="s">
        <v>133</v>
      </c>
      <c r="E38" s="10" t="s">
        <v>37</v>
      </c>
      <c r="F38" s="6" t="s">
        <v>33</v>
      </c>
      <c r="G38" s="6" t="s">
        <v>134</v>
      </c>
    </row>
    <row r="39" customFormat="false" ht="22.35" hidden="false" customHeight="false" outlineLevel="0" collapsed="false">
      <c r="A39" s="8"/>
      <c r="B39" s="8" t="s">
        <v>20</v>
      </c>
      <c r="C39" s="8" t="s">
        <v>135</v>
      </c>
      <c r="D39" s="8" t="s">
        <v>136</v>
      </c>
      <c r="E39" s="9" t="s">
        <v>19</v>
      </c>
      <c r="F39" s="8" t="s">
        <v>20</v>
      </c>
      <c r="G39" s="8" t="s">
        <v>137</v>
      </c>
    </row>
    <row r="40" customFormat="false" ht="22.35" hidden="false" customHeight="false" outlineLevel="0" collapsed="false">
      <c r="A40" s="6"/>
      <c r="B40" s="6" t="s">
        <v>20</v>
      </c>
      <c r="C40" s="6" t="s">
        <v>138</v>
      </c>
      <c r="D40" s="6" t="s">
        <v>139</v>
      </c>
      <c r="E40" s="9" t="s">
        <v>19</v>
      </c>
      <c r="F40" s="6" t="s">
        <v>28</v>
      </c>
      <c r="G40" s="6" t="s">
        <v>140</v>
      </c>
    </row>
    <row r="41" customFormat="false" ht="22.35" hidden="false" customHeight="false" outlineLevel="0" collapsed="false">
      <c r="A41" s="8"/>
      <c r="B41" s="8" t="s">
        <v>28</v>
      </c>
      <c r="C41" s="8" t="s">
        <v>141</v>
      </c>
      <c r="D41" s="8" t="s">
        <v>142</v>
      </c>
      <c r="E41" s="7" t="s">
        <v>14</v>
      </c>
      <c r="F41" s="8" t="s">
        <v>109</v>
      </c>
      <c r="G41" s="8" t="s">
        <v>143</v>
      </c>
    </row>
    <row r="42" customFormat="false" ht="15" hidden="false" customHeight="false" outlineLevel="0" collapsed="false">
      <c r="A42" s="4" t="s">
        <v>144</v>
      </c>
      <c r="B42" s="5"/>
      <c r="C42" s="5"/>
      <c r="D42" s="5"/>
      <c r="E42" s="5"/>
      <c r="F42" s="5"/>
      <c r="G42" s="5"/>
    </row>
    <row r="43" customFormat="false" ht="22.35" hidden="false" customHeight="false" outlineLevel="0" collapsed="false">
      <c r="A43" s="8" t="s">
        <v>145</v>
      </c>
      <c r="B43" s="8" t="s">
        <v>146</v>
      </c>
      <c r="C43" s="8" t="s">
        <v>147</v>
      </c>
      <c r="D43" s="8" t="s">
        <v>148</v>
      </c>
      <c r="E43" s="9" t="s">
        <v>19</v>
      </c>
      <c r="F43" s="8" t="s">
        <v>20</v>
      </c>
      <c r="G43" s="8" t="s">
        <v>149</v>
      </c>
    </row>
    <row r="44" customFormat="false" ht="22.35" hidden="false" customHeight="false" outlineLevel="0" collapsed="false">
      <c r="A44" s="6"/>
      <c r="B44" s="6" t="s">
        <v>146</v>
      </c>
      <c r="C44" s="6" t="s">
        <v>150</v>
      </c>
      <c r="D44" s="6" t="s">
        <v>151</v>
      </c>
      <c r="E44" s="7" t="s">
        <v>14</v>
      </c>
      <c r="F44" s="6" t="s">
        <v>152</v>
      </c>
      <c r="G44" s="6" t="s">
        <v>153</v>
      </c>
    </row>
    <row r="45" customFormat="false" ht="22.35" hidden="false" customHeight="false" outlineLevel="0" collapsed="false">
      <c r="A45" s="8"/>
      <c r="B45" s="8" t="s">
        <v>146</v>
      </c>
      <c r="C45" s="8" t="s">
        <v>154</v>
      </c>
      <c r="D45" s="8" t="s">
        <v>155</v>
      </c>
      <c r="E45" s="9" t="s">
        <v>19</v>
      </c>
      <c r="F45" s="8" t="s">
        <v>152</v>
      </c>
      <c r="G45" s="8" t="s">
        <v>156</v>
      </c>
    </row>
    <row r="46" customFormat="false" ht="22.35" hidden="false" customHeight="false" outlineLevel="0" collapsed="false">
      <c r="A46" s="6"/>
      <c r="B46" s="6" t="s">
        <v>157</v>
      </c>
      <c r="C46" s="6" t="s">
        <v>158</v>
      </c>
      <c r="D46" s="6" t="s">
        <v>159</v>
      </c>
      <c r="E46" s="9" t="s">
        <v>19</v>
      </c>
      <c r="F46" s="6" t="s">
        <v>152</v>
      </c>
      <c r="G46" s="6" t="s">
        <v>160</v>
      </c>
    </row>
    <row r="47" customFormat="false" ht="15" hidden="false" customHeight="false" outlineLevel="0" collapsed="false">
      <c r="A47" s="8"/>
      <c r="B47" s="8" t="s">
        <v>161</v>
      </c>
      <c r="C47" s="8" t="s">
        <v>162</v>
      </c>
      <c r="D47" s="8" t="s">
        <v>163</v>
      </c>
      <c r="E47" s="10" t="s">
        <v>37</v>
      </c>
      <c r="F47" s="8" t="s">
        <v>20</v>
      </c>
      <c r="G47" s="8" t="s">
        <v>164</v>
      </c>
    </row>
    <row r="48" customFormat="false" ht="15" hidden="false" customHeight="false" outlineLevel="0" collapsed="false">
      <c r="A48" s="6"/>
      <c r="B48" s="6" t="s">
        <v>165</v>
      </c>
      <c r="C48" s="6" t="s">
        <v>166</v>
      </c>
      <c r="D48" s="6" t="s">
        <v>167</v>
      </c>
      <c r="E48" s="9" t="s">
        <v>19</v>
      </c>
      <c r="F48" s="6" t="s">
        <v>20</v>
      </c>
      <c r="G48" s="6" t="s">
        <v>168</v>
      </c>
    </row>
    <row r="49" customFormat="false" ht="22.35" hidden="false" customHeight="false" outlineLevel="0" collapsed="false">
      <c r="A49" s="8"/>
      <c r="B49" s="8" t="s">
        <v>169</v>
      </c>
      <c r="C49" s="8" t="s">
        <v>170</v>
      </c>
      <c r="D49" s="8" t="s">
        <v>171</v>
      </c>
      <c r="E49" s="7" t="s">
        <v>14</v>
      </c>
      <c r="F49" s="8" t="s">
        <v>45</v>
      </c>
      <c r="G49" s="8" t="s">
        <v>172</v>
      </c>
    </row>
    <row r="50" customFormat="false" ht="22.35" hidden="false" customHeight="false" outlineLevel="0" collapsed="false">
      <c r="A50" s="6"/>
      <c r="B50" s="6" t="s">
        <v>30</v>
      </c>
      <c r="C50" s="6" t="s">
        <v>173</v>
      </c>
      <c r="D50" s="6" t="s">
        <v>174</v>
      </c>
      <c r="E50" s="10" t="s">
        <v>37</v>
      </c>
      <c r="F50" s="6" t="s">
        <v>33</v>
      </c>
      <c r="G50" s="6" t="s">
        <v>175</v>
      </c>
    </row>
    <row r="51" customFormat="false" ht="22.35" hidden="false" customHeight="false" outlineLevel="0" collapsed="false">
      <c r="A51" s="8"/>
      <c r="B51" s="8" t="s">
        <v>176</v>
      </c>
      <c r="C51" s="8" t="s">
        <v>177</v>
      </c>
      <c r="D51" s="8" t="s">
        <v>178</v>
      </c>
      <c r="E51" s="7" t="s">
        <v>14</v>
      </c>
      <c r="F51" s="8" t="s">
        <v>15</v>
      </c>
      <c r="G51" s="8" t="s">
        <v>179</v>
      </c>
    </row>
    <row r="52" customFormat="false" ht="15" hidden="false" customHeight="false" outlineLevel="0" collapsed="false">
      <c r="A52" s="4" t="s">
        <v>180</v>
      </c>
      <c r="B52" s="5"/>
      <c r="C52" s="5"/>
      <c r="D52" s="5"/>
      <c r="E52" s="5"/>
      <c r="F52" s="5"/>
      <c r="G52" s="5"/>
    </row>
    <row r="53" customFormat="false" ht="22.35" hidden="false" customHeight="false" outlineLevel="0" collapsed="false">
      <c r="A53" s="8" t="s">
        <v>181</v>
      </c>
      <c r="B53" s="8" t="s">
        <v>182</v>
      </c>
      <c r="C53" s="8" t="s">
        <v>183</v>
      </c>
      <c r="D53" s="8" t="s">
        <v>184</v>
      </c>
      <c r="E53" s="7" t="s">
        <v>14</v>
      </c>
      <c r="F53" s="8" t="s">
        <v>185</v>
      </c>
      <c r="G53" s="8" t="s">
        <v>186</v>
      </c>
    </row>
    <row r="54" customFormat="false" ht="22.35" hidden="false" customHeight="false" outlineLevel="0" collapsed="false">
      <c r="A54" s="6"/>
      <c r="B54" s="6" t="s">
        <v>182</v>
      </c>
      <c r="C54" s="6" t="s">
        <v>187</v>
      </c>
      <c r="D54" s="6" t="s">
        <v>188</v>
      </c>
      <c r="E54" s="9" t="s">
        <v>19</v>
      </c>
      <c r="F54" s="6" t="s">
        <v>97</v>
      </c>
      <c r="G54" s="6" t="s">
        <v>189</v>
      </c>
    </row>
    <row r="55" customFormat="false" ht="22.35" hidden="false" customHeight="false" outlineLevel="0" collapsed="false">
      <c r="A55" s="8"/>
      <c r="B55" s="8" t="s">
        <v>182</v>
      </c>
      <c r="C55" s="8" t="s">
        <v>190</v>
      </c>
      <c r="D55" s="8" t="s">
        <v>191</v>
      </c>
      <c r="E55" s="9" t="s">
        <v>19</v>
      </c>
      <c r="F55" s="8" t="s">
        <v>33</v>
      </c>
      <c r="G55" s="8" t="s">
        <v>192</v>
      </c>
    </row>
    <row r="56" customFormat="false" ht="15" hidden="false" customHeight="false" outlineLevel="0" collapsed="false">
      <c r="A56" s="6"/>
      <c r="B56" s="6" t="s">
        <v>193</v>
      </c>
      <c r="C56" s="6" t="s">
        <v>194</v>
      </c>
      <c r="D56" s="6" t="s">
        <v>195</v>
      </c>
      <c r="E56" s="7" t="s">
        <v>14</v>
      </c>
      <c r="F56" s="6" t="s">
        <v>109</v>
      </c>
      <c r="G56" s="6" t="s">
        <v>196</v>
      </c>
    </row>
    <row r="57" customFormat="false" ht="22.35" hidden="false" customHeight="false" outlineLevel="0" collapsed="false">
      <c r="A57" s="8"/>
      <c r="B57" s="8" t="s">
        <v>193</v>
      </c>
      <c r="C57" s="8" t="s">
        <v>197</v>
      </c>
      <c r="D57" s="8" t="s">
        <v>198</v>
      </c>
      <c r="E57" s="9" t="s">
        <v>19</v>
      </c>
      <c r="F57" s="8" t="s">
        <v>199</v>
      </c>
      <c r="G57" s="8" t="s">
        <v>200</v>
      </c>
    </row>
    <row r="58" customFormat="false" ht="22.35" hidden="false" customHeight="false" outlineLevel="0" collapsed="false">
      <c r="A58" s="6"/>
      <c r="B58" s="6" t="s">
        <v>201</v>
      </c>
      <c r="C58" s="6" t="s">
        <v>202</v>
      </c>
      <c r="D58" s="6" t="s">
        <v>203</v>
      </c>
      <c r="E58" s="9" t="s">
        <v>19</v>
      </c>
      <c r="F58" s="6" t="s">
        <v>45</v>
      </c>
      <c r="G58" s="6" t="s">
        <v>204</v>
      </c>
    </row>
    <row r="59" customFormat="false" ht="15" hidden="false" customHeight="false" outlineLevel="0" collapsed="false">
      <c r="A59" s="8"/>
      <c r="B59" s="8" t="s">
        <v>201</v>
      </c>
      <c r="C59" s="8" t="s">
        <v>205</v>
      </c>
      <c r="D59" s="8" t="s">
        <v>206</v>
      </c>
      <c r="E59" s="7" t="s">
        <v>14</v>
      </c>
      <c r="F59" s="8" t="s">
        <v>207</v>
      </c>
      <c r="G59" s="8" t="s">
        <v>208</v>
      </c>
    </row>
    <row r="60" customFormat="false" ht="22.35" hidden="false" customHeight="false" outlineLevel="0" collapsed="false">
      <c r="A60" s="6"/>
      <c r="B60" s="6" t="s">
        <v>30</v>
      </c>
      <c r="C60" s="6" t="s">
        <v>209</v>
      </c>
      <c r="D60" s="6" t="s">
        <v>210</v>
      </c>
      <c r="E60" s="10" t="s">
        <v>37</v>
      </c>
      <c r="F60" s="6" t="s">
        <v>33</v>
      </c>
      <c r="G60" s="6" t="s">
        <v>211</v>
      </c>
    </row>
    <row r="61" customFormat="false" ht="15" hidden="false" customHeight="false" outlineLevel="0" collapsed="false">
      <c r="A61" s="4" t="s">
        <v>212</v>
      </c>
      <c r="B61" s="5"/>
      <c r="C61" s="5"/>
      <c r="D61" s="5"/>
      <c r="E61" s="5"/>
      <c r="F61" s="5"/>
      <c r="G61" s="5"/>
    </row>
    <row r="62" customFormat="false" ht="22.35" hidden="false" customHeight="false" outlineLevel="0" collapsed="false">
      <c r="A62" s="6" t="s">
        <v>213</v>
      </c>
      <c r="B62" s="6" t="s">
        <v>113</v>
      </c>
      <c r="C62" s="6" t="s">
        <v>214</v>
      </c>
      <c r="D62" s="6" t="s">
        <v>215</v>
      </c>
      <c r="E62" s="7" t="s">
        <v>14</v>
      </c>
      <c r="F62" s="6" t="s">
        <v>207</v>
      </c>
      <c r="G62" s="6" t="s">
        <v>216</v>
      </c>
    </row>
    <row r="63" customFormat="false" ht="22.35" hidden="false" customHeight="false" outlineLevel="0" collapsed="false">
      <c r="A63" s="8"/>
      <c r="B63" s="8" t="s">
        <v>113</v>
      </c>
      <c r="C63" s="8" t="s">
        <v>217</v>
      </c>
      <c r="D63" s="8" t="s">
        <v>218</v>
      </c>
      <c r="E63" s="9" t="s">
        <v>19</v>
      </c>
      <c r="F63" s="8" t="s">
        <v>97</v>
      </c>
      <c r="G63" s="8" t="s">
        <v>219</v>
      </c>
    </row>
    <row r="64" customFormat="false" ht="15" hidden="false" customHeight="false" outlineLevel="0" collapsed="false">
      <c r="A64" s="6"/>
      <c r="B64" s="6" t="s">
        <v>220</v>
      </c>
      <c r="C64" s="6" t="s">
        <v>221</v>
      </c>
      <c r="D64" s="6" t="s">
        <v>222</v>
      </c>
      <c r="E64" s="9" t="s">
        <v>19</v>
      </c>
      <c r="F64" s="6" t="s">
        <v>45</v>
      </c>
      <c r="G64" s="6" t="s">
        <v>223</v>
      </c>
    </row>
    <row r="65" customFormat="false" ht="15" hidden="false" customHeight="false" outlineLevel="0" collapsed="false">
      <c r="A65" s="8"/>
      <c r="B65" s="8" t="s">
        <v>220</v>
      </c>
      <c r="C65" s="8" t="s">
        <v>224</v>
      </c>
      <c r="D65" s="8" t="s">
        <v>225</v>
      </c>
      <c r="E65" s="9" t="s">
        <v>19</v>
      </c>
      <c r="F65" s="8" t="s">
        <v>45</v>
      </c>
      <c r="G65" s="8" t="s">
        <v>226</v>
      </c>
    </row>
    <row r="66" customFormat="false" ht="22.35" hidden="false" customHeight="false" outlineLevel="0" collapsed="false">
      <c r="A66" s="6"/>
      <c r="B66" s="6" t="s">
        <v>227</v>
      </c>
      <c r="C66" s="6" t="s">
        <v>228</v>
      </c>
      <c r="D66" s="6" t="s">
        <v>229</v>
      </c>
      <c r="E66" s="7" t="s">
        <v>14</v>
      </c>
      <c r="F66" s="6" t="s">
        <v>230</v>
      </c>
      <c r="G66" s="6" t="s">
        <v>231</v>
      </c>
    </row>
    <row r="67" customFormat="false" ht="15" hidden="false" customHeight="false" outlineLevel="0" collapsed="false">
      <c r="A67" s="8"/>
      <c r="B67" s="8" t="s">
        <v>227</v>
      </c>
      <c r="C67" s="8" t="s">
        <v>232</v>
      </c>
      <c r="D67" s="8" t="s">
        <v>233</v>
      </c>
      <c r="E67" s="10" t="s">
        <v>37</v>
      </c>
      <c r="F67" s="8" t="s">
        <v>234</v>
      </c>
      <c r="G67" s="8" t="s">
        <v>235</v>
      </c>
    </row>
    <row r="68" customFormat="false" ht="22.35" hidden="false" customHeight="false" outlineLevel="0" collapsed="false">
      <c r="A68" s="6"/>
      <c r="B68" s="6" t="s">
        <v>236</v>
      </c>
      <c r="C68" s="6" t="s">
        <v>237</v>
      </c>
      <c r="D68" s="6" t="s">
        <v>238</v>
      </c>
      <c r="E68" s="9" t="s">
        <v>19</v>
      </c>
      <c r="F68" s="6" t="s">
        <v>97</v>
      </c>
      <c r="G68" s="6" t="s">
        <v>239</v>
      </c>
    </row>
    <row r="69" customFormat="false" ht="22.35" hidden="false" customHeight="false" outlineLevel="0" collapsed="false">
      <c r="A69" s="8"/>
      <c r="B69" s="8" t="s">
        <v>30</v>
      </c>
      <c r="C69" s="8" t="s">
        <v>240</v>
      </c>
      <c r="D69" s="8" t="s">
        <v>241</v>
      </c>
      <c r="E69" s="10" t="s">
        <v>37</v>
      </c>
      <c r="F69" s="8" t="s">
        <v>33</v>
      </c>
      <c r="G69" s="8" t="s">
        <v>242</v>
      </c>
    </row>
    <row r="70" customFormat="false" ht="15" hidden="false" customHeight="false" outlineLevel="0" collapsed="false">
      <c r="A70" s="4" t="s">
        <v>243</v>
      </c>
      <c r="B70" s="5"/>
      <c r="C70" s="5"/>
      <c r="D70" s="5"/>
      <c r="E70" s="5"/>
      <c r="F70" s="5"/>
      <c r="G70" s="5"/>
    </row>
    <row r="71" customFormat="false" ht="22.35" hidden="false" customHeight="false" outlineLevel="0" collapsed="false">
      <c r="A71" s="8" t="s">
        <v>244</v>
      </c>
      <c r="B71" s="8" t="s">
        <v>245</v>
      </c>
      <c r="C71" s="8" t="s">
        <v>246</v>
      </c>
      <c r="D71" s="8" t="s">
        <v>247</v>
      </c>
      <c r="E71" s="7" t="s">
        <v>14</v>
      </c>
      <c r="F71" s="8" t="s">
        <v>97</v>
      </c>
      <c r="G71" s="8" t="s">
        <v>248</v>
      </c>
    </row>
    <row r="72" customFormat="false" ht="22.35" hidden="false" customHeight="false" outlineLevel="0" collapsed="false">
      <c r="A72" s="6"/>
      <c r="B72" s="6" t="s">
        <v>245</v>
      </c>
      <c r="C72" s="6" t="s">
        <v>249</v>
      </c>
      <c r="D72" s="6" t="s">
        <v>250</v>
      </c>
      <c r="E72" s="7" t="s">
        <v>14</v>
      </c>
      <c r="F72" s="6" t="s">
        <v>33</v>
      </c>
      <c r="G72" s="6" t="s">
        <v>251</v>
      </c>
    </row>
    <row r="73" customFormat="false" ht="22.35" hidden="false" customHeight="false" outlineLevel="0" collapsed="false">
      <c r="A73" s="8"/>
      <c r="B73" s="8" t="s">
        <v>245</v>
      </c>
      <c r="C73" s="8" t="s">
        <v>252</v>
      </c>
      <c r="D73" s="8" t="s">
        <v>253</v>
      </c>
      <c r="E73" s="9" t="s">
        <v>19</v>
      </c>
      <c r="F73" s="8" t="s">
        <v>33</v>
      </c>
      <c r="G73" s="8" t="s">
        <v>254</v>
      </c>
    </row>
    <row r="74" customFormat="false" ht="22.35" hidden="false" customHeight="false" outlineLevel="0" collapsed="false">
      <c r="A74" s="6"/>
      <c r="B74" s="6" t="s">
        <v>245</v>
      </c>
      <c r="C74" s="6" t="s">
        <v>255</v>
      </c>
      <c r="D74" s="6" t="s">
        <v>256</v>
      </c>
      <c r="E74" s="7" t="s">
        <v>14</v>
      </c>
      <c r="F74" s="6" t="s">
        <v>97</v>
      </c>
      <c r="G74" s="6" t="s">
        <v>257</v>
      </c>
    </row>
    <row r="75" customFormat="false" ht="22.35" hidden="false" customHeight="false" outlineLevel="0" collapsed="false">
      <c r="A75" s="8"/>
      <c r="B75" s="8" t="s">
        <v>99</v>
      </c>
      <c r="C75" s="8" t="s">
        <v>258</v>
      </c>
      <c r="D75" s="8" t="s">
        <v>259</v>
      </c>
      <c r="E75" s="9" t="s">
        <v>19</v>
      </c>
      <c r="F75" s="8" t="s">
        <v>97</v>
      </c>
      <c r="G75" s="8" t="s">
        <v>260</v>
      </c>
    </row>
    <row r="76" customFormat="false" ht="22.35" hidden="false" customHeight="false" outlineLevel="0" collapsed="false">
      <c r="A76" s="6"/>
      <c r="B76" s="6" t="s">
        <v>94</v>
      </c>
      <c r="C76" s="6" t="s">
        <v>261</v>
      </c>
      <c r="D76" s="6" t="s">
        <v>262</v>
      </c>
      <c r="E76" s="7" t="s">
        <v>14</v>
      </c>
      <c r="F76" s="6" t="s">
        <v>263</v>
      </c>
      <c r="G76" s="6" t="s">
        <v>264</v>
      </c>
    </row>
    <row r="77" customFormat="false" ht="15" hidden="false" customHeight="false" outlineLevel="0" collapsed="false">
      <c r="A77" s="8"/>
      <c r="B77" s="8" t="s">
        <v>28</v>
      </c>
      <c r="C77" s="8" t="s">
        <v>265</v>
      </c>
      <c r="D77" s="8" t="s">
        <v>266</v>
      </c>
      <c r="E77" s="10" t="s">
        <v>37</v>
      </c>
      <c r="F77" s="8" t="s">
        <v>33</v>
      </c>
      <c r="G77" s="8" t="s">
        <v>267</v>
      </c>
    </row>
    <row r="78" customFormat="false" ht="15" hidden="false" customHeight="false" outlineLevel="0" collapsed="false">
      <c r="A78" s="6"/>
      <c r="B78" s="6" t="s">
        <v>28</v>
      </c>
      <c r="C78" s="6" t="s">
        <v>268</v>
      </c>
      <c r="D78" s="6" t="s">
        <v>269</v>
      </c>
      <c r="E78" s="10" t="s">
        <v>37</v>
      </c>
      <c r="F78" s="6" t="s">
        <v>109</v>
      </c>
      <c r="G78" s="6" t="s">
        <v>270</v>
      </c>
    </row>
    <row r="79" customFormat="false" ht="15" hidden="false" customHeight="false" outlineLevel="0" collapsed="false">
      <c r="A79" s="4" t="s">
        <v>271</v>
      </c>
      <c r="B79" s="5"/>
      <c r="C79" s="5"/>
      <c r="D79" s="5"/>
      <c r="E79" s="5"/>
      <c r="F79" s="5"/>
      <c r="G79" s="5"/>
    </row>
    <row r="80" customFormat="false" ht="22.35" hidden="false" customHeight="false" outlineLevel="0" collapsed="false">
      <c r="A80" s="6" t="s">
        <v>272</v>
      </c>
      <c r="B80" s="6" t="s">
        <v>182</v>
      </c>
      <c r="C80" s="6" t="s">
        <v>273</v>
      </c>
      <c r="D80" s="6" t="s">
        <v>274</v>
      </c>
      <c r="E80" s="7" t="s">
        <v>14</v>
      </c>
      <c r="F80" s="6" t="s">
        <v>97</v>
      </c>
      <c r="G80" s="6" t="s">
        <v>219</v>
      </c>
    </row>
    <row r="81" customFormat="false" ht="22.35" hidden="false" customHeight="false" outlineLevel="0" collapsed="false">
      <c r="A81" s="8"/>
      <c r="B81" s="8" t="s">
        <v>121</v>
      </c>
      <c r="C81" s="8" t="s">
        <v>275</v>
      </c>
      <c r="D81" s="8" t="s">
        <v>276</v>
      </c>
      <c r="E81" s="7" t="s">
        <v>14</v>
      </c>
      <c r="F81" s="8" t="s">
        <v>15</v>
      </c>
      <c r="G81" s="8" t="s">
        <v>277</v>
      </c>
    </row>
    <row r="82" customFormat="false" ht="15" hidden="false" customHeight="false" outlineLevel="0" collapsed="false">
      <c r="A82" s="6"/>
      <c r="B82" s="6" t="s">
        <v>278</v>
      </c>
      <c r="C82" s="6" t="s">
        <v>279</v>
      </c>
      <c r="D82" s="6" t="s">
        <v>280</v>
      </c>
      <c r="E82" s="9" t="s">
        <v>19</v>
      </c>
      <c r="F82" s="6" t="s">
        <v>109</v>
      </c>
      <c r="G82" s="6" t="s">
        <v>281</v>
      </c>
    </row>
    <row r="83" customFormat="false" ht="22.35" hidden="false" customHeight="false" outlineLevel="0" collapsed="false">
      <c r="A83" s="8"/>
      <c r="B83" s="8" t="s">
        <v>282</v>
      </c>
      <c r="C83" s="8" t="s">
        <v>283</v>
      </c>
      <c r="D83" s="8" t="s">
        <v>284</v>
      </c>
      <c r="E83" s="9" t="s">
        <v>19</v>
      </c>
      <c r="F83" s="8" t="s">
        <v>234</v>
      </c>
      <c r="G83" s="8" t="s">
        <v>285</v>
      </c>
    </row>
    <row r="84" customFormat="false" ht="15" hidden="false" customHeight="false" outlineLevel="0" collapsed="false">
      <c r="A84" s="6"/>
      <c r="B84" s="6" t="s">
        <v>28</v>
      </c>
      <c r="C84" s="6" t="s">
        <v>286</v>
      </c>
      <c r="D84" s="6" t="s">
        <v>269</v>
      </c>
      <c r="E84" s="10" t="s">
        <v>37</v>
      </c>
      <c r="F84" s="6" t="s">
        <v>109</v>
      </c>
      <c r="G84" s="6" t="s">
        <v>270</v>
      </c>
    </row>
    <row r="85" customFormat="false" ht="22.35" hidden="false" customHeight="false" outlineLevel="0" collapsed="false">
      <c r="A85" s="8"/>
      <c r="B85" s="8" t="s">
        <v>30</v>
      </c>
      <c r="C85" s="8" t="s">
        <v>287</v>
      </c>
      <c r="D85" s="8" t="s">
        <v>288</v>
      </c>
      <c r="E85" s="9" t="s">
        <v>19</v>
      </c>
      <c r="F85" s="8" t="s">
        <v>33</v>
      </c>
      <c r="G85" s="8" t="s">
        <v>289</v>
      </c>
    </row>
    <row r="86" customFormat="false" ht="15" hidden="false" customHeight="false" outlineLevel="0" collapsed="false">
      <c r="A86" s="4" t="s">
        <v>290</v>
      </c>
      <c r="B86" s="5"/>
      <c r="C86" s="5"/>
      <c r="D86" s="5"/>
      <c r="E86" s="5"/>
      <c r="F86" s="5"/>
      <c r="G86" s="5"/>
    </row>
    <row r="87" customFormat="false" ht="22.35" hidden="false" customHeight="false" outlineLevel="0" collapsed="false">
      <c r="A87" s="8" t="s">
        <v>291</v>
      </c>
      <c r="B87" s="8" t="s">
        <v>292</v>
      </c>
      <c r="C87" s="8" t="s">
        <v>293</v>
      </c>
      <c r="D87" s="8" t="s">
        <v>294</v>
      </c>
      <c r="E87" s="7" t="s">
        <v>14</v>
      </c>
      <c r="F87" s="8" t="s">
        <v>15</v>
      </c>
      <c r="G87" s="8" t="s">
        <v>295</v>
      </c>
    </row>
    <row r="88" customFormat="false" ht="22.35" hidden="false" customHeight="false" outlineLevel="0" collapsed="false">
      <c r="A88" s="6"/>
      <c r="B88" s="6" t="s">
        <v>292</v>
      </c>
      <c r="C88" s="6" t="s">
        <v>296</v>
      </c>
      <c r="D88" s="6" t="s">
        <v>297</v>
      </c>
      <c r="E88" s="9" t="s">
        <v>19</v>
      </c>
      <c r="F88" s="6" t="s">
        <v>20</v>
      </c>
      <c r="G88" s="6" t="s">
        <v>298</v>
      </c>
    </row>
    <row r="89" customFormat="false" ht="22.35" hidden="false" customHeight="false" outlineLevel="0" collapsed="false">
      <c r="A89" s="8"/>
      <c r="B89" s="8" t="s">
        <v>299</v>
      </c>
      <c r="C89" s="8" t="s">
        <v>300</v>
      </c>
      <c r="D89" s="8" t="s">
        <v>301</v>
      </c>
      <c r="E89" s="7" t="s">
        <v>14</v>
      </c>
      <c r="F89" s="8" t="s">
        <v>45</v>
      </c>
      <c r="G89" s="8" t="s">
        <v>302</v>
      </c>
    </row>
    <row r="90" customFormat="false" ht="22.35" hidden="false" customHeight="false" outlineLevel="0" collapsed="false">
      <c r="A90" s="6"/>
      <c r="B90" s="6" t="s">
        <v>303</v>
      </c>
      <c r="C90" s="6" t="s">
        <v>304</v>
      </c>
      <c r="D90" s="6" t="s">
        <v>305</v>
      </c>
      <c r="E90" s="9" t="s">
        <v>19</v>
      </c>
      <c r="F90" s="6" t="s">
        <v>20</v>
      </c>
      <c r="G90" s="6" t="s">
        <v>306</v>
      </c>
    </row>
    <row r="91" customFormat="false" ht="22.35" hidden="false" customHeight="false" outlineLevel="0" collapsed="false">
      <c r="A91" s="8"/>
      <c r="B91" s="8" t="s">
        <v>307</v>
      </c>
      <c r="C91" s="8" t="s">
        <v>308</v>
      </c>
      <c r="D91" s="8" t="s">
        <v>309</v>
      </c>
      <c r="E91" s="7" t="s">
        <v>14</v>
      </c>
      <c r="F91" s="8" t="s">
        <v>15</v>
      </c>
      <c r="G91" s="8" t="s">
        <v>310</v>
      </c>
    </row>
    <row r="92" customFormat="false" ht="15" hidden="false" customHeight="false" outlineLevel="0" collapsed="false">
      <c r="A92" s="4" t="s">
        <v>311</v>
      </c>
      <c r="B92" s="5"/>
      <c r="C92" s="5"/>
      <c r="D92" s="5"/>
      <c r="E92" s="5"/>
      <c r="F92" s="5"/>
      <c r="G92" s="5"/>
    </row>
    <row r="93" customFormat="false" ht="22.35" hidden="false" customHeight="false" outlineLevel="0" collapsed="false">
      <c r="A93" s="8" t="s">
        <v>312</v>
      </c>
      <c r="B93" s="8" t="s">
        <v>313</v>
      </c>
      <c r="C93" s="8" t="s">
        <v>314</v>
      </c>
      <c r="D93" s="8" t="s">
        <v>315</v>
      </c>
      <c r="E93" s="7" t="s">
        <v>14</v>
      </c>
      <c r="F93" s="8" t="s">
        <v>207</v>
      </c>
      <c r="G93" s="8" t="s">
        <v>316</v>
      </c>
    </row>
    <row r="94" customFormat="false" ht="22.35" hidden="false" customHeight="false" outlineLevel="0" collapsed="false">
      <c r="A94" s="6"/>
      <c r="B94" s="6" t="s">
        <v>313</v>
      </c>
      <c r="C94" s="6" t="s">
        <v>317</v>
      </c>
      <c r="D94" s="6" t="s">
        <v>318</v>
      </c>
      <c r="E94" s="7" t="s">
        <v>14</v>
      </c>
      <c r="F94" s="6" t="s">
        <v>15</v>
      </c>
      <c r="G94" s="6" t="s">
        <v>319</v>
      </c>
    </row>
    <row r="95" customFormat="false" ht="22.35" hidden="false" customHeight="false" outlineLevel="0" collapsed="false">
      <c r="A95" s="8"/>
      <c r="B95" s="8" t="s">
        <v>320</v>
      </c>
      <c r="C95" s="8" t="s">
        <v>321</v>
      </c>
      <c r="D95" s="8" t="s">
        <v>322</v>
      </c>
      <c r="E95" s="9" t="s">
        <v>19</v>
      </c>
      <c r="F95" s="8" t="s">
        <v>109</v>
      </c>
      <c r="G95" s="8" t="s">
        <v>323</v>
      </c>
    </row>
    <row r="96" customFormat="false" ht="15" hidden="false" customHeight="false" outlineLevel="0" collapsed="false">
      <c r="A96" s="6"/>
      <c r="B96" s="6" t="s">
        <v>28</v>
      </c>
      <c r="C96" s="6" t="s">
        <v>324</v>
      </c>
      <c r="D96" s="6" t="s">
        <v>325</v>
      </c>
      <c r="E96" s="9" t="s">
        <v>19</v>
      </c>
      <c r="F96" s="6" t="s">
        <v>28</v>
      </c>
      <c r="G96" s="6" t="s">
        <v>326</v>
      </c>
    </row>
    <row r="97" customFormat="false" ht="15" hidden="false" customHeight="false" outlineLevel="0" collapsed="false">
      <c r="A97" s="4" t="s">
        <v>327</v>
      </c>
      <c r="B97" s="5"/>
      <c r="C97" s="5"/>
      <c r="D97" s="5"/>
      <c r="E97" s="5"/>
      <c r="F97" s="5"/>
      <c r="G97" s="5"/>
    </row>
    <row r="98" customFormat="false" ht="22.35" hidden="false" customHeight="false" outlineLevel="0" collapsed="false">
      <c r="A98" s="6" t="s">
        <v>328</v>
      </c>
      <c r="B98" s="6" t="s">
        <v>182</v>
      </c>
      <c r="C98" s="6" t="s">
        <v>329</v>
      </c>
      <c r="D98" s="6" t="s">
        <v>330</v>
      </c>
      <c r="E98" s="7" t="s">
        <v>14</v>
      </c>
      <c r="F98" s="6" t="s">
        <v>207</v>
      </c>
      <c r="G98" s="6" t="s">
        <v>331</v>
      </c>
    </row>
    <row r="99" customFormat="false" ht="15" hidden="false" customHeight="false" outlineLevel="0" collapsed="false">
      <c r="A99" s="8"/>
      <c r="B99" s="8" t="s">
        <v>332</v>
      </c>
      <c r="C99" s="8" t="s">
        <v>333</v>
      </c>
      <c r="D99" s="8" t="s">
        <v>334</v>
      </c>
      <c r="E99" s="7" t="s">
        <v>14</v>
      </c>
      <c r="F99" s="8" t="s">
        <v>207</v>
      </c>
      <c r="G99" s="8" t="s">
        <v>335</v>
      </c>
    </row>
    <row r="100" customFormat="false" ht="22.35" hidden="false" customHeight="false" outlineLevel="0" collapsed="false">
      <c r="A100" s="6"/>
      <c r="B100" s="6" t="s">
        <v>336</v>
      </c>
      <c r="C100" s="6" t="s">
        <v>337</v>
      </c>
      <c r="D100" s="6" t="s">
        <v>338</v>
      </c>
      <c r="E100" s="9" t="s">
        <v>19</v>
      </c>
      <c r="F100" s="6" t="s">
        <v>339</v>
      </c>
      <c r="G100" s="6" t="s">
        <v>340</v>
      </c>
    </row>
    <row r="101" customFormat="false" ht="22.35" hidden="false" customHeight="false" outlineLevel="0" collapsed="false">
      <c r="A101" s="8"/>
      <c r="B101" s="8" t="s">
        <v>341</v>
      </c>
      <c r="C101" s="8" t="s">
        <v>342</v>
      </c>
      <c r="D101" s="8" t="s">
        <v>343</v>
      </c>
      <c r="E101" s="9" t="s">
        <v>19</v>
      </c>
      <c r="F101" s="8" t="s">
        <v>207</v>
      </c>
      <c r="G101" s="8" t="s">
        <v>344</v>
      </c>
    </row>
    <row r="102" customFormat="false" ht="22.35" hidden="false" customHeight="false" outlineLevel="0" collapsed="false">
      <c r="A102" s="6"/>
      <c r="B102" s="6" t="s">
        <v>30</v>
      </c>
      <c r="C102" s="6" t="s">
        <v>345</v>
      </c>
      <c r="D102" s="6" t="s">
        <v>346</v>
      </c>
      <c r="E102" s="9" t="s">
        <v>19</v>
      </c>
      <c r="F102" s="6" t="s">
        <v>97</v>
      </c>
      <c r="G102" s="6" t="s">
        <v>347</v>
      </c>
    </row>
    <row r="103" customFormat="false" ht="15" hidden="false" customHeight="false" outlineLevel="0" collapsed="false">
      <c r="A103" s="4" t="s">
        <v>348</v>
      </c>
      <c r="B103" s="5"/>
      <c r="C103" s="5"/>
      <c r="D103" s="5"/>
      <c r="E103" s="5"/>
      <c r="F103" s="5"/>
      <c r="G103" s="5"/>
    </row>
    <row r="104" customFormat="false" ht="22.35" hidden="false" customHeight="false" outlineLevel="0" collapsed="false">
      <c r="A104" s="6" t="s">
        <v>349</v>
      </c>
      <c r="B104" s="6" t="s">
        <v>113</v>
      </c>
      <c r="C104" s="6" t="s">
        <v>350</v>
      </c>
      <c r="D104" s="6" t="s">
        <v>351</v>
      </c>
      <c r="E104" s="7" t="s">
        <v>14</v>
      </c>
      <c r="F104" s="6" t="s">
        <v>45</v>
      </c>
      <c r="G104" s="6" t="s">
        <v>352</v>
      </c>
    </row>
    <row r="105" customFormat="false" ht="22.35" hidden="false" customHeight="false" outlineLevel="0" collapsed="false">
      <c r="A105" s="8"/>
      <c r="B105" s="8" t="s">
        <v>353</v>
      </c>
      <c r="C105" s="8" t="s">
        <v>354</v>
      </c>
      <c r="D105" s="8" t="s">
        <v>355</v>
      </c>
      <c r="E105" s="7" t="s">
        <v>14</v>
      </c>
      <c r="F105" s="8" t="s">
        <v>15</v>
      </c>
      <c r="G105" s="8" t="s">
        <v>356</v>
      </c>
    </row>
    <row r="106" customFormat="false" ht="22.35" hidden="false" customHeight="false" outlineLevel="0" collapsed="false">
      <c r="A106" s="6"/>
      <c r="B106" s="6" t="s">
        <v>357</v>
      </c>
      <c r="C106" s="6" t="s">
        <v>358</v>
      </c>
      <c r="D106" s="6" t="s">
        <v>359</v>
      </c>
      <c r="E106" s="9" t="s">
        <v>19</v>
      </c>
      <c r="F106" s="6" t="s">
        <v>15</v>
      </c>
      <c r="G106" s="6" t="s">
        <v>360</v>
      </c>
    </row>
    <row r="107" customFormat="false" ht="22.35" hidden="false" customHeight="false" outlineLevel="0" collapsed="false">
      <c r="A107" s="8"/>
      <c r="B107" s="8" t="s">
        <v>28</v>
      </c>
      <c r="C107" s="8" t="s">
        <v>361</v>
      </c>
      <c r="D107" s="8" t="s">
        <v>269</v>
      </c>
      <c r="E107" s="10" t="s">
        <v>37</v>
      </c>
      <c r="F107" s="8" t="s">
        <v>109</v>
      </c>
      <c r="G107" s="8" t="s">
        <v>270</v>
      </c>
    </row>
    <row r="108" customFormat="false" ht="15" hidden="false" customHeight="false" outlineLevel="0" collapsed="false">
      <c r="A108" s="6"/>
      <c r="B108" s="6" t="s">
        <v>362</v>
      </c>
      <c r="C108" s="6" t="s">
        <v>363</v>
      </c>
      <c r="D108" s="6" t="s">
        <v>364</v>
      </c>
      <c r="E108" s="10" t="s">
        <v>37</v>
      </c>
      <c r="F108" s="6" t="s">
        <v>234</v>
      </c>
      <c r="G108" s="6" t="s">
        <v>365</v>
      </c>
    </row>
    <row r="109" customFormat="false" ht="15" hidden="false" customHeight="false" outlineLevel="0" collapsed="false">
      <c r="A109" s="4" t="s">
        <v>366</v>
      </c>
      <c r="B109" s="5"/>
      <c r="C109" s="5"/>
      <c r="D109" s="5"/>
      <c r="E109" s="5"/>
      <c r="F109" s="5"/>
      <c r="G109" s="5"/>
    </row>
    <row r="110" customFormat="false" ht="22.35" hidden="false" customHeight="false" outlineLevel="0" collapsed="false">
      <c r="A110" s="6" t="s">
        <v>367</v>
      </c>
      <c r="B110" s="6" t="s">
        <v>368</v>
      </c>
      <c r="C110" s="6" t="s">
        <v>369</v>
      </c>
      <c r="D110" s="6" t="s">
        <v>370</v>
      </c>
      <c r="E110" s="7" t="s">
        <v>14</v>
      </c>
      <c r="F110" s="6" t="s">
        <v>15</v>
      </c>
      <c r="G110" s="6" t="s">
        <v>371</v>
      </c>
    </row>
    <row r="111" customFormat="false" ht="15" hidden="false" customHeight="false" outlineLevel="0" collapsed="false">
      <c r="A111" s="8"/>
      <c r="B111" s="8" t="s">
        <v>368</v>
      </c>
      <c r="C111" s="8" t="s">
        <v>372</v>
      </c>
      <c r="D111" s="8" t="s">
        <v>373</v>
      </c>
      <c r="E111" s="9" t="s">
        <v>19</v>
      </c>
      <c r="F111" s="8" t="s">
        <v>15</v>
      </c>
      <c r="G111" s="8" t="s">
        <v>374</v>
      </c>
    </row>
    <row r="112" customFormat="false" ht="22.35" hidden="false" customHeight="false" outlineLevel="0" collapsed="false">
      <c r="A112" s="6"/>
      <c r="B112" s="6" t="s">
        <v>375</v>
      </c>
      <c r="C112" s="6" t="s">
        <v>376</v>
      </c>
      <c r="D112" s="6" t="s">
        <v>377</v>
      </c>
      <c r="E112" s="9" t="s">
        <v>19</v>
      </c>
      <c r="F112" s="6" t="s">
        <v>20</v>
      </c>
      <c r="G112" s="6" t="s">
        <v>378</v>
      </c>
    </row>
    <row r="113" customFormat="false" ht="22.35" hidden="false" customHeight="false" outlineLevel="0" collapsed="false">
      <c r="A113" s="8"/>
      <c r="B113" s="8" t="s">
        <v>113</v>
      </c>
      <c r="C113" s="8" t="s">
        <v>379</v>
      </c>
      <c r="D113" s="8" t="s">
        <v>380</v>
      </c>
      <c r="E113" s="9" t="s">
        <v>19</v>
      </c>
      <c r="F113" s="8" t="s">
        <v>97</v>
      </c>
      <c r="G113" s="8" t="s">
        <v>381</v>
      </c>
    </row>
    <row r="114" customFormat="false" ht="22.35" hidden="false" customHeight="false" outlineLevel="0" collapsed="false">
      <c r="A114" s="6"/>
      <c r="B114" s="6" t="s">
        <v>30</v>
      </c>
      <c r="C114" s="6" t="s">
        <v>382</v>
      </c>
      <c r="D114" s="6" t="s">
        <v>383</v>
      </c>
      <c r="E114" s="10" t="s">
        <v>37</v>
      </c>
      <c r="F114" s="6" t="s">
        <v>33</v>
      </c>
      <c r="G114" s="6" t="s">
        <v>384</v>
      </c>
    </row>
    <row r="115" customFormat="false" ht="15" hidden="false" customHeight="false" outlineLevel="0" collapsed="false">
      <c r="A115" s="4" t="s">
        <v>385</v>
      </c>
      <c r="B115" s="5"/>
      <c r="C115" s="5"/>
      <c r="D115" s="5"/>
      <c r="E115" s="5"/>
      <c r="F115" s="5"/>
      <c r="G115" s="5"/>
    </row>
    <row r="116" customFormat="false" ht="22.35" hidden="false" customHeight="false" outlineLevel="0" collapsed="false">
      <c r="A116" s="6" t="s">
        <v>386</v>
      </c>
      <c r="B116" s="6" t="s">
        <v>387</v>
      </c>
      <c r="C116" s="6" t="s">
        <v>388</v>
      </c>
      <c r="D116" s="6" t="s">
        <v>389</v>
      </c>
      <c r="E116" s="7" t="s">
        <v>14</v>
      </c>
      <c r="F116" s="6" t="s">
        <v>234</v>
      </c>
      <c r="G116" s="6" t="s">
        <v>390</v>
      </c>
    </row>
    <row r="117" customFormat="false" ht="15" hidden="false" customHeight="false" outlineLevel="0" collapsed="false">
      <c r="A117" s="8"/>
      <c r="B117" s="8" t="s">
        <v>387</v>
      </c>
      <c r="C117" s="8" t="s">
        <v>391</v>
      </c>
      <c r="D117" s="8" t="s">
        <v>392</v>
      </c>
      <c r="E117" s="9" t="s">
        <v>19</v>
      </c>
      <c r="F117" s="8" t="s">
        <v>15</v>
      </c>
      <c r="G117" s="8" t="s">
        <v>393</v>
      </c>
    </row>
    <row r="118" customFormat="false" ht="22.35" hidden="false" customHeight="false" outlineLevel="0" collapsed="false">
      <c r="A118" s="6"/>
      <c r="B118" s="6" t="s">
        <v>394</v>
      </c>
      <c r="C118" s="6" t="s">
        <v>395</v>
      </c>
      <c r="D118" s="6" t="s">
        <v>396</v>
      </c>
      <c r="E118" s="10" t="s">
        <v>37</v>
      </c>
      <c r="F118" s="6" t="s">
        <v>234</v>
      </c>
      <c r="G118" s="6" t="s">
        <v>397</v>
      </c>
    </row>
    <row r="119" customFormat="false" ht="22.35" hidden="false" customHeight="false" outlineLevel="0" collapsed="false">
      <c r="A119" s="8"/>
      <c r="B119" s="8" t="s">
        <v>398</v>
      </c>
      <c r="C119" s="8" t="s">
        <v>399</v>
      </c>
      <c r="D119" s="8" t="s">
        <v>400</v>
      </c>
      <c r="E119" s="9" t="s">
        <v>19</v>
      </c>
      <c r="F119" s="8" t="s">
        <v>234</v>
      </c>
      <c r="G119" s="8" t="s">
        <v>401</v>
      </c>
    </row>
    <row r="120" customFormat="false" ht="15" hidden="false" customHeight="false" outlineLevel="0" collapsed="false">
      <c r="A120" s="6"/>
      <c r="B120" s="6" t="s">
        <v>402</v>
      </c>
      <c r="C120" s="6" t="s">
        <v>403</v>
      </c>
      <c r="D120" s="6" t="s">
        <v>404</v>
      </c>
      <c r="E120" s="7" t="s">
        <v>14</v>
      </c>
      <c r="F120" s="6" t="s">
        <v>207</v>
      </c>
      <c r="G120" s="6" t="s">
        <v>405</v>
      </c>
    </row>
    <row r="121" customFormat="false" ht="15" hidden="false" customHeight="false" outlineLevel="0" collapsed="false">
      <c r="A121" s="4" t="s">
        <v>406</v>
      </c>
      <c r="B121" s="5"/>
      <c r="C121" s="5"/>
      <c r="D121" s="5"/>
      <c r="E121" s="5"/>
      <c r="F121" s="5"/>
      <c r="G121" s="5"/>
    </row>
    <row r="122" customFormat="false" ht="22.35" hidden="false" customHeight="false" outlineLevel="0" collapsed="false">
      <c r="A122" s="6" t="s">
        <v>406</v>
      </c>
      <c r="B122" s="6" t="s">
        <v>121</v>
      </c>
      <c r="C122" s="6" t="s">
        <v>407</v>
      </c>
      <c r="D122" s="6" t="s">
        <v>408</v>
      </c>
      <c r="E122" s="9" t="s">
        <v>19</v>
      </c>
      <c r="F122" s="6" t="s">
        <v>15</v>
      </c>
      <c r="G122" s="6" t="s">
        <v>409</v>
      </c>
    </row>
    <row r="123" customFormat="false" ht="15" hidden="false" customHeight="false" outlineLevel="0" collapsed="false">
      <c r="A123" s="8"/>
      <c r="B123" s="8" t="s">
        <v>410</v>
      </c>
      <c r="C123" s="8" t="s">
        <v>411</v>
      </c>
      <c r="D123" s="8" t="s">
        <v>412</v>
      </c>
      <c r="E123" s="9" t="s">
        <v>19</v>
      </c>
      <c r="F123" s="8" t="s">
        <v>413</v>
      </c>
      <c r="G123" s="8" t="s">
        <v>414</v>
      </c>
    </row>
    <row r="124" customFormat="false" ht="15" hidden="false" customHeight="false" outlineLevel="0" collapsed="false">
      <c r="A124" s="6"/>
      <c r="B124" s="6" t="s">
        <v>415</v>
      </c>
      <c r="C124" s="6" t="s">
        <v>416</v>
      </c>
      <c r="D124" s="6" t="s">
        <v>417</v>
      </c>
      <c r="E124" s="7" t="s">
        <v>14</v>
      </c>
      <c r="F124" s="6" t="s">
        <v>207</v>
      </c>
      <c r="G124" s="6" t="s">
        <v>418</v>
      </c>
    </row>
    <row r="125" customFormat="false" ht="22.35" hidden="false" customHeight="false" outlineLevel="0" collapsed="false">
      <c r="A125" s="8"/>
      <c r="B125" s="8" t="s">
        <v>419</v>
      </c>
      <c r="C125" s="8" t="s">
        <v>420</v>
      </c>
      <c r="D125" s="8" t="s">
        <v>421</v>
      </c>
      <c r="E125" s="9" t="s">
        <v>19</v>
      </c>
      <c r="F125" s="8" t="s">
        <v>109</v>
      </c>
      <c r="G125" s="8" t="s">
        <v>422</v>
      </c>
    </row>
  </sheetData>
  <autoFilter ref="A4:G125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423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424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3" t="s">
        <v>425</v>
      </c>
      <c r="B4" s="3" t="s">
        <v>426</v>
      </c>
      <c r="C4" s="3" t="s">
        <v>427</v>
      </c>
      <c r="D4" s="3" t="s">
        <v>428</v>
      </c>
      <c r="E4" s="3" t="s">
        <v>429</v>
      </c>
      <c r="F4" s="3" t="s">
        <v>430</v>
      </c>
    </row>
    <row r="5" customFormat="false" ht="32.8" hidden="false" customHeight="false" outlineLevel="0" collapsed="false">
      <c r="A5" s="8" t="s">
        <v>431</v>
      </c>
      <c r="B5" s="8" t="s">
        <v>432</v>
      </c>
      <c r="C5" s="8" t="s">
        <v>433</v>
      </c>
      <c r="D5" s="8" t="s">
        <v>434</v>
      </c>
      <c r="E5" s="8" t="s">
        <v>435</v>
      </c>
      <c r="F5" s="8" t="s">
        <v>436</v>
      </c>
    </row>
    <row r="6" customFormat="false" ht="32.8" hidden="false" customHeight="false" outlineLevel="0" collapsed="false">
      <c r="A6" s="6" t="s">
        <v>431</v>
      </c>
      <c r="B6" s="6" t="s">
        <v>437</v>
      </c>
      <c r="C6" s="6" t="s">
        <v>438</v>
      </c>
      <c r="D6" s="6" t="s">
        <v>439</v>
      </c>
      <c r="E6" s="6" t="s">
        <v>440</v>
      </c>
      <c r="F6" s="6" t="s">
        <v>441</v>
      </c>
    </row>
    <row r="7" customFormat="false" ht="32.8" hidden="false" customHeight="false" outlineLevel="0" collapsed="false">
      <c r="A7" s="8" t="s">
        <v>442</v>
      </c>
      <c r="B7" s="8" t="s">
        <v>443</v>
      </c>
      <c r="C7" s="8" t="s">
        <v>444</v>
      </c>
      <c r="D7" s="8" t="s">
        <v>445</v>
      </c>
      <c r="E7" s="8" t="s">
        <v>446</v>
      </c>
      <c r="F7" s="8" t="s">
        <v>447</v>
      </c>
    </row>
    <row r="8" customFormat="false" ht="32.8" hidden="false" customHeight="false" outlineLevel="0" collapsed="false">
      <c r="A8" s="6" t="s">
        <v>442</v>
      </c>
      <c r="B8" s="6" t="s">
        <v>448</v>
      </c>
      <c r="C8" s="6" t="s">
        <v>449</v>
      </c>
      <c r="D8" s="6" t="s">
        <v>450</v>
      </c>
      <c r="E8" s="6" t="s">
        <v>451</v>
      </c>
      <c r="F8" s="6" t="s">
        <v>452</v>
      </c>
    </row>
    <row r="9" customFormat="false" ht="22.35" hidden="false" customHeight="false" outlineLevel="0" collapsed="false">
      <c r="A9" s="8" t="s">
        <v>453</v>
      </c>
      <c r="B9" s="8" t="s">
        <v>454</v>
      </c>
      <c r="C9" s="8" t="s">
        <v>455</v>
      </c>
      <c r="D9" s="8" t="s">
        <v>456</v>
      </c>
      <c r="E9" s="8" t="s">
        <v>457</v>
      </c>
      <c r="F9" s="8" t="s">
        <v>458</v>
      </c>
    </row>
    <row r="10" customFormat="false" ht="22.35" hidden="false" customHeight="false" outlineLevel="0" collapsed="false">
      <c r="A10" s="6" t="s">
        <v>22</v>
      </c>
      <c r="B10" s="6" t="s">
        <v>459</v>
      </c>
      <c r="C10" s="6" t="s">
        <v>460</v>
      </c>
      <c r="D10" s="6" t="s">
        <v>461</v>
      </c>
      <c r="E10" s="6" t="s">
        <v>462</v>
      </c>
      <c r="F10" s="6" t="s">
        <v>463</v>
      </c>
    </row>
    <row r="11" customFormat="false" ht="22.35" hidden="false" customHeight="false" outlineLevel="0" collapsed="false">
      <c r="A11" s="8" t="s">
        <v>22</v>
      </c>
      <c r="B11" s="8" t="s">
        <v>464</v>
      </c>
      <c r="C11" s="8" t="s">
        <v>465</v>
      </c>
      <c r="D11" s="8" t="s">
        <v>466</v>
      </c>
      <c r="E11" s="8" t="s">
        <v>467</v>
      </c>
      <c r="F11" s="8" t="s">
        <v>468</v>
      </c>
    </row>
    <row r="12" customFormat="false" ht="22.35" hidden="false" customHeight="false" outlineLevel="0" collapsed="false">
      <c r="A12" s="6" t="s">
        <v>22</v>
      </c>
      <c r="B12" s="6" t="s">
        <v>469</v>
      </c>
      <c r="C12" s="6" t="s">
        <v>470</v>
      </c>
      <c r="D12" s="6" t="s">
        <v>471</v>
      </c>
      <c r="E12" s="6" t="s">
        <v>472</v>
      </c>
      <c r="F12" s="6" t="s">
        <v>473</v>
      </c>
    </row>
    <row r="13" customFormat="false" ht="32.8" hidden="false" customHeight="false" outlineLevel="0" collapsed="false">
      <c r="A13" s="8" t="s">
        <v>474</v>
      </c>
      <c r="B13" s="8" t="s">
        <v>475</v>
      </c>
      <c r="C13" s="8" t="s">
        <v>476</v>
      </c>
      <c r="D13" s="8" t="s">
        <v>477</v>
      </c>
      <c r="E13" s="8" t="s">
        <v>478</v>
      </c>
      <c r="F13" s="8" t="s">
        <v>479</v>
      </c>
    </row>
    <row r="14" customFormat="false" ht="22.35" hidden="false" customHeight="false" outlineLevel="0" collapsed="false">
      <c r="A14" s="6" t="s">
        <v>474</v>
      </c>
      <c r="B14" s="6" t="s">
        <v>480</v>
      </c>
      <c r="C14" s="6" t="s">
        <v>481</v>
      </c>
      <c r="D14" s="6" t="s">
        <v>482</v>
      </c>
      <c r="E14" s="6" t="s">
        <v>483</v>
      </c>
      <c r="F14" s="6" t="s">
        <v>484</v>
      </c>
    </row>
    <row r="15" customFormat="false" ht="32.8" hidden="false" customHeight="false" outlineLevel="0" collapsed="false">
      <c r="A15" s="8" t="s">
        <v>485</v>
      </c>
      <c r="B15" s="8" t="s">
        <v>486</v>
      </c>
      <c r="C15" s="8" t="s">
        <v>487</v>
      </c>
      <c r="D15" s="8" t="s">
        <v>466</v>
      </c>
      <c r="E15" s="8" t="s">
        <v>488</v>
      </c>
      <c r="F15" s="8" t="s">
        <v>489</v>
      </c>
    </row>
    <row r="16" customFormat="false" ht="22.35" hidden="false" customHeight="false" outlineLevel="0" collapsed="false">
      <c r="A16" s="6" t="s">
        <v>490</v>
      </c>
      <c r="B16" s="6" t="s">
        <v>491</v>
      </c>
      <c r="C16" s="6" t="s">
        <v>492</v>
      </c>
      <c r="D16" s="6" t="s">
        <v>493</v>
      </c>
      <c r="E16" s="6" t="s">
        <v>494</v>
      </c>
      <c r="F16" s="6" t="s">
        <v>495</v>
      </c>
    </row>
    <row r="17" customFormat="false" ht="22.35" hidden="false" customHeight="false" outlineLevel="0" collapsed="false">
      <c r="A17" s="8" t="s">
        <v>490</v>
      </c>
      <c r="B17" s="8" t="s">
        <v>496</v>
      </c>
      <c r="C17" s="8" t="s">
        <v>497</v>
      </c>
      <c r="D17" s="8" t="s">
        <v>498</v>
      </c>
      <c r="E17" s="8" t="s">
        <v>499</v>
      </c>
      <c r="F17" s="8" t="s">
        <v>500</v>
      </c>
    </row>
    <row r="18" customFormat="false" ht="22.35" hidden="false" customHeight="false" outlineLevel="0" collapsed="false">
      <c r="A18" s="6" t="s">
        <v>501</v>
      </c>
      <c r="B18" s="6" t="s">
        <v>502</v>
      </c>
      <c r="C18" s="6" t="s">
        <v>503</v>
      </c>
      <c r="D18" s="6" t="s">
        <v>504</v>
      </c>
      <c r="E18" s="6" t="s">
        <v>505</v>
      </c>
      <c r="F18" s="6" t="s">
        <v>506</v>
      </c>
    </row>
    <row r="19" customFormat="false" ht="22.35" hidden="false" customHeight="false" outlineLevel="0" collapsed="false">
      <c r="A19" s="8" t="s">
        <v>507</v>
      </c>
      <c r="B19" s="8" t="s">
        <v>508</v>
      </c>
      <c r="C19" s="8" t="s">
        <v>509</v>
      </c>
      <c r="D19" s="8" t="s">
        <v>510</v>
      </c>
      <c r="E19" s="8" t="s">
        <v>511</v>
      </c>
      <c r="F19" s="8" t="s">
        <v>512</v>
      </c>
    </row>
    <row r="20" customFormat="false" ht="32.8" hidden="false" customHeight="false" outlineLevel="0" collapsed="false">
      <c r="A20" s="6" t="s">
        <v>513</v>
      </c>
      <c r="B20" s="6" t="s">
        <v>514</v>
      </c>
      <c r="C20" s="6" t="s">
        <v>515</v>
      </c>
      <c r="D20" s="6" t="s">
        <v>516</v>
      </c>
      <c r="E20" s="6" t="s">
        <v>517</v>
      </c>
      <c r="F20" s="6" t="s">
        <v>518</v>
      </c>
    </row>
    <row r="21" customFormat="false" ht="32.8" hidden="false" customHeight="false" outlineLevel="0" collapsed="false">
      <c r="A21" s="8" t="s">
        <v>519</v>
      </c>
      <c r="B21" s="8" t="s">
        <v>520</v>
      </c>
      <c r="C21" s="8" t="s">
        <v>521</v>
      </c>
      <c r="D21" s="8" t="s">
        <v>466</v>
      </c>
      <c r="E21" s="8" t="s">
        <v>522</v>
      </c>
      <c r="F21" s="8" t="s">
        <v>523</v>
      </c>
    </row>
    <row r="22" customFormat="false" ht="32.8" hidden="false" customHeight="false" outlineLevel="0" collapsed="false">
      <c r="A22" s="6" t="s">
        <v>524</v>
      </c>
      <c r="B22" s="6" t="s">
        <v>525</v>
      </c>
      <c r="C22" s="6" t="s">
        <v>526</v>
      </c>
      <c r="D22" s="6" t="s">
        <v>527</v>
      </c>
      <c r="E22" s="6" t="s">
        <v>528</v>
      </c>
      <c r="F22" s="6" t="s">
        <v>529</v>
      </c>
    </row>
    <row r="23" customFormat="false" ht="22.35" hidden="false" customHeight="false" outlineLevel="0" collapsed="false">
      <c r="A23" s="8" t="s">
        <v>530</v>
      </c>
      <c r="B23" s="8" t="s">
        <v>531</v>
      </c>
      <c r="C23" s="8" t="s">
        <v>532</v>
      </c>
      <c r="D23" s="8" t="s">
        <v>533</v>
      </c>
      <c r="E23" s="8" t="s">
        <v>534</v>
      </c>
      <c r="F23" s="8" t="s">
        <v>535</v>
      </c>
    </row>
    <row r="24" customFormat="false" ht="32.8" hidden="false" customHeight="false" outlineLevel="0" collapsed="false">
      <c r="A24" s="6" t="s">
        <v>311</v>
      </c>
      <c r="B24" s="6" t="s">
        <v>536</v>
      </c>
      <c r="C24" s="6" t="s">
        <v>537</v>
      </c>
      <c r="D24" s="6" t="s">
        <v>538</v>
      </c>
      <c r="E24" s="6" t="s">
        <v>539</v>
      </c>
      <c r="F24" s="6" t="s">
        <v>540</v>
      </c>
    </row>
  </sheetData>
  <autoFilter ref="A4:F2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36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541</v>
      </c>
      <c r="B1" s="1"/>
      <c r="C1" s="1"/>
      <c r="D1" s="1"/>
    </row>
    <row r="3" customFormat="false" ht="15" hidden="false" customHeight="false" outlineLevel="0" collapsed="false">
      <c r="A3" s="3" t="s">
        <v>542</v>
      </c>
      <c r="B3" s="3" t="s">
        <v>543</v>
      </c>
      <c r="C3" s="3" t="s">
        <v>544</v>
      </c>
      <c r="D3" s="3" t="s">
        <v>545</v>
      </c>
    </row>
    <row r="4" customFormat="false" ht="32.8" hidden="false" customHeight="false" outlineLevel="0" collapsed="false">
      <c r="A4" s="6" t="s">
        <v>15</v>
      </c>
      <c r="B4" s="6" t="s">
        <v>546</v>
      </c>
      <c r="C4" s="6" t="s">
        <v>547</v>
      </c>
      <c r="D4" s="11" t="s">
        <v>548</v>
      </c>
    </row>
    <row r="5" customFormat="false" ht="22.35" hidden="false" customHeight="false" outlineLevel="0" collapsed="false">
      <c r="A5" s="8" t="s">
        <v>33</v>
      </c>
      <c r="B5" s="8" t="s">
        <v>549</v>
      </c>
      <c r="C5" s="8" t="s">
        <v>550</v>
      </c>
      <c r="D5" s="11" t="s">
        <v>548</v>
      </c>
    </row>
    <row r="6" customFormat="false" ht="22.35" hidden="false" customHeight="false" outlineLevel="0" collapsed="false">
      <c r="A6" s="6" t="s">
        <v>109</v>
      </c>
      <c r="B6" s="6" t="s">
        <v>551</v>
      </c>
      <c r="C6" s="6" t="s">
        <v>552</v>
      </c>
      <c r="D6" s="11" t="s">
        <v>548</v>
      </c>
    </row>
    <row r="7" customFormat="false" ht="22.35" hidden="false" customHeight="false" outlineLevel="0" collapsed="false">
      <c r="A7" s="8" t="s">
        <v>20</v>
      </c>
      <c r="B7" s="8" t="s">
        <v>553</v>
      </c>
      <c r="C7" s="8" t="s">
        <v>554</v>
      </c>
      <c r="D7" s="11" t="s">
        <v>548</v>
      </c>
    </row>
    <row r="8" customFormat="false" ht="22.35" hidden="false" customHeight="false" outlineLevel="0" collapsed="false">
      <c r="A8" s="6" t="s">
        <v>28</v>
      </c>
      <c r="B8" s="6" t="s">
        <v>555</v>
      </c>
      <c r="C8" s="6" t="s">
        <v>556</v>
      </c>
      <c r="D8" s="11" t="s">
        <v>548</v>
      </c>
    </row>
    <row r="9" customFormat="false" ht="22.35" hidden="false" customHeight="false" outlineLevel="0" collapsed="false">
      <c r="A9" s="8" t="s">
        <v>45</v>
      </c>
      <c r="B9" s="8" t="s">
        <v>557</v>
      </c>
      <c r="C9" s="8" t="s">
        <v>558</v>
      </c>
      <c r="D9" s="12" t="s">
        <v>559</v>
      </c>
    </row>
    <row r="10" customFormat="false" ht="22.35" hidden="false" customHeight="false" outlineLevel="0" collapsed="false">
      <c r="A10" s="6" t="s">
        <v>97</v>
      </c>
      <c r="B10" s="6" t="s">
        <v>560</v>
      </c>
      <c r="C10" s="6" t="s">
        <v>561</v>
      </c>
      <c r="D10" s="12" t="s">
        <v>559</v>
      </c>
    </row>
    <row r="11" customFormat="false" ht="22.35" hidden="false" customHeight="false" outlineLevel="0" collapsed="false">
      <c r="A11" s="8" t="s">
        <v>234</v>
      </c>
      <c r="B11" s="8" t="s">
        <v>562</v>
      </c>
      <c r="C11" s="8" t="s">
        <v>563</v>
      </c>
      <c r="D11" s="12" t="s">
        <v>559</v>
      </c>
    </row>
    <row r="12" customFormat="false" ht="22.35" hidden="false" customHeight="false" outlineLevel="0" collapsed="false">
      <c r="A12" s="6" t="s">
        <v>207</v>
      </c>
      <c r="B12" s="6" t="s">
        <v>564</v>
      </c>
      <c r="C12" s="6" t="s">
        <v>565</v>
      </c>
      <c r="D12" s="12" t="s">
        <v>559</v>
      </c>
    </row>
    <row r="13" customFormat="false" ht="22.35" hidden="false" customHeight="false" outlineLevel="0" collapsed="false">
      <c r="A13" s="8" t="s">
        <v>230</v>
      </c>
      <c r="B13" s="8" t="s">
        <v>566</v>
      </c>
      <c r="C13" s="8" t="s">
        <v>567</v>
      </c>
      <c r="D13" s="13" t="s">
        <v>568</v>
      </c>
    </row>
    <row r="14" customFormat="false" ht="22.35" hidden="false" customHeight="false" outlineLevel="0" collapsed="false">
      <c r="A14" s="6" t="s">
        <v>52</v>
      </c>
      <c r="B14" s="6" t="s">
        <v>569</v>
      </c>
      <c r="C14" s="6" t="s">
        <v>570</v>
      </c>
      <c r="D14" s="13" t="s">
        <v>571</v>
      </c>
    </row>
    <row r="15" customFormat="false" ht="22.35" hidden="false" customHeight="false" outlineLevel="0" collapsed="false">
      <c r="A15" s="8" t="s">
        <v>152</v>
      </c>
      <c r="B15" s="8" t="s">
        <v>572</v>
      </c>
      <c r="C15" s="8" t="s">
        <v>573</v>
      </c>
      <c r="D15" s="11" t="s">
        <v>548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4" min="3" style="0" width="30"/>
  </cols>
  <sheetData>
    <row r="1" customFormat="false" ht="17.35" hidden="false" customHeight="false" outlineLevel="0" collapsed="false">
      <c r="A1" s="1" t="s">
        <v>574</v>
      </c>
      <c r="B1" s="1"/>
      <c r="C1" s="1"/>
      <c r="D1" s="1"/>
    </row>
    <row r="3" customFormat="false" ht="15" hidden="false" customHeight="false" outlineLevel="0" collapsed="false">
      <c r="A3" s="3" t="s">
        <v>6</v>
      </c>
      <c r="B3" s="3" t="s">
        <v>575</v>
      </c>
      <c r="C3" s="3" t="s">
        <v>576</v>
      </c>
      <c r="D3" s="3" t="s">
        <v>577</v>
      </c>
    </row>
    <row r="4" customFormat="false" ht="60" hidden="false" customHeight="true" outlineLevel="0" collapsed="false">
      <c r="A4" s="7" t="s">
        <v>14</v>
      </c>
      <c r="B4" s="8" t="s">
        <v>578</v>
      </c>
      <c r="C4" s="8" t="s">
        <v>579</v>
      </c>
      <c r="D4" s="8" t="s">
        <v>580</v>
      </c>
    </row>
    <row r="5" customFormat="false" ht="60" hidden="false" customHeight="true" outlineLevel="0" collapsed="false">
      <c r="A5" s="9" t="s">
        <v>19</v>
      </c>
      <c r="B5" s="8" t="s">
        <v>581</v>
      </c>
      <c r="C5" s="8" t="s">
        <v>582</v>
      </c>
      <c r="D5" s="8" t="s">
        <v>583</v>
      </c>
    </row>
    <row r="6" customFormat="false" ht="60" hidden="false" customHeight="true" outlineLevel="0" collapsed="false">
      <c r="A6" s="10" t="s">
        <v>37</v>
      </c>
      <c r="B6" s="8" t="s">
        <v>584</v>
      </c>
      <c r="C6" s="8" t="s">
        <v>585</v>
      </c>
      <c r="D6" s="8" t="s">
        <v>586</v>
      </c>
    </row>
    <row r="7" customFormat="false" ht="60" hidden="false" customHeight="true" outlineLevel="0" collapsed="false">
      <c r="A7" s="14" t="s">
        <v>587</v>
      </c>
      <c r="B7" s="8" t="s">
        <v>588</v>
      </c>
      <c r="C7" s="8" t="s">
        <v>589</v>
      </c>
      <c r="D7" s="8" t="s">
        <v>590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591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592</v>
      </c>
      <c r="B3" s="3" t="s">
        <v>14</v>
      </c>
      <c r="C3" s="3" t="s">
        <v>19</v>
      </c>
      <c r="D3" s="3" t="s">
        <v>37</v>
      </c>
      <c r="E3" s="3" t="s">
        <v>587</v>
      </c>
      <c r="F3" s="3" t="s">
        <v>593</v>
      </c>
    </row>
    <row r="4" customFormat="false" ht="15" hidden="false" customHeight="false" outlineLevel="0" collapsed="false">
      <c r="A4" s="15" t="s">
        <v>594</v>
      </c>
      <c r="B4" s="16" t="n">
        <f aca="false">COUNTIF('Master Checklist'!E:E,"CRITICAL")</f>
        <v>39</v>
      </c>
      <c r="C4" s="17" t="n">
        <f aca="false">COUNTIF('Master Checklist'!E:E,"HIGH")</f>
        <v>47</v>
      </c>
      <c r="D4" s="18" t="n">
        <f aca="false">COUNTIF('Master Checklist'!E:E,"MEDIUM")</f>
        <v>19</v>
      </c>
      <c r="E4" s="19" t="n">
        <f aca="false">COUNTIF('Master Checklist'!E:E,"LOW")</f>
        <v>0</v>
      </c>
      <c r="F4" s="15" t="n">
        <f aca="false">SUM(B4:E4)</f>
        <v>105</v>
      </c>
    </row>
    <row r="6" customFormat="false" ht="15" hidden="false" customHeight="false" outlineLevel="0" collapsed="false">
      <c r="A6" s="20" t="s">
        <v>595</v>
      </c>
    </row>
    <row r="7" customFormat="false" ht="15" hidden="false" customHeight="false" outlineLevel="0" collapsed="false">
      <c r="A7" s="3" t="s">
        <v>2</v>
      </c>
      <c r="B7" s="3" t="s">
        <v>14</v>
      </c>
      <c r="C7" s="3" t="s">
        <v>19</v>
      </c>
      <c r="D7" s="3" t="s">
        <v>37</v>
      </c>
      <c r="E7" s="3" t="s">
        <v>587</v>
      </c>
      <c r="F7" s="3" t="s">
        <v>593</v>
      </c>
    </row>
    <row r="8" customFormat="false" ht="15" hidden="false" customHeight="false" outlineLevel="0" collapsed="false">
      <c r="A8" s="21" t="s">
        <v>9</v>
      </c>
      <c r="B8" s="22" t="n">
        <f aca="false">COUNTIFS('Master Checklist'!A:A,"*ACORD 125*",'Master Checklist'!E:E,"CRITICAL")</f>
        <v>1</v>
      </c>
      <c r="C8" s="22" t="n">
        <f aca="false">COUNTIFS('Master Checklist'!A:A,"*ACORD 125*",'Master Checklist'!E:E,"HIGH")</f>
        <v>0</v>
      </c>
      <c r="D8" s="22" t="n">
        <f aca="false">COUNTIFS('Master Checklist'!A:A,"*ACORD 125*",'Master Checklist'!E:E,"MEDIUM")</f>
        <v>0</v>
      </c>
      <c r="E8" s="22" t="n">
        <f aca="false">COUNTIFS('Master Checklist'!A:A,"*ACORD 125*",'Master Checklist'!E:E,"LOW")</f>
        <v>0</v>
      </c>
      <c r="F8" s="23" t="n">
        <f aca="false">SUM(B8:E8)</f>
        <v>1</v>
      </c>
    </row>
    <row r="9" customFormat="false" ht="15" hidden="false" customHeight="false" outlineLevel="0" collapsed="false">
      <c r="A9" s="21" t="s">
        <v>54</v>
      </c>
      <c r="B9" s="22" t="n">
        <f aca="false">COUNTIFS('Master Checklist'!A:A,"*ACORD 130*",'Master Checklist'!E:E,"CRITICAL")</f>
        <v>1</v>
      </c>
      <c r="C9" s="22" t="n">
        <f aca="false">COUNTIFS('Master Checklist'!A:A,"*ACORD 130*",'Master Checklist'!E:E,"HIGH")</f>
        <v>0</v>
      </c>
      <c r="D9" s="22" t="n">
        <f aca="false">COUNTIFS('Master Checklist'!A:A,"*ACORD 130*",'Master Checklist'!E:E,"MEDIUM")</f>
        <v>0</v>
      </c>
      <c r="E9" s="22" t="n">
        <f aca="false">COUNTIFS('Master Checklist'!A:A,"*ACORD 130*",'Master Checklist'!E:E,"LOW")</f>
        <v>0</v>
      </c>
      <c r="F9" s="23" t="n">
        <f aca="false">SUM(B9:E9)</f>
        <v>1</v>
      </c>
    </row>
    <row r="10" customFormat="false" ht="15" hidden="false" customHeight="false" outlineLevel="0" collapsed="false">
      <c r="A10" s="21" t="s">
        <v>82</v>
      </c>
      <c r="B10" s="22" t="n">
        <f aca="false">COUNTIFS('Master Checklist'!A:A,"*ACORD 140*",'Master Checklist'!E:E,"CRITICAL")</f>
        <v>1</v>
      </c>
      <c r="C10" s="22" t="n">
        <f aca="false">COUNTIFS('Master Checklist'!A:A,"*ACORD 140*",'Master Checklist'!E:E,"HIGH")</f>
        <v>0</v>
      </c>
      <c r="D10" s="22" t="n">
        <f aca="false">COUNTIFS('Master Checklist'!A:A,"*ACORD 140*",'Master Checklist'!E:E,"MEDIUM")</f>
        <v>0</v>
      </c>
      <c r="E10" s="22" t="n">
        <f aca="false">COUNTIFS('Master Checklist'!A:A,"*ACORD 140*",'Master Checklist'!E:E,"LOW")</f>
        <v>0</v>
      </c>
      <c r="F10" s="23" t="n">
        <f aca="false">SUM(B10:E10)</f>
        <v>1</v>
      </c>
    </row>
    <row r="11" customFormat="false" ht="15" hidden="false" customHeight="false" outlineLevel="0" collapsed="false">
      <c r="A11" s="21" t="s">
        <v>111</v>
      </c>
      <c r="B11" s="22" t="n">
        <f aca="false">COUNTIFS('Master Checklist'!A:A,"*Loss Runs*",'Master Checklist'!E:E,"CRITICAL")</f>
        <v>1</v>
      </c>
      <c r="C11" s="22" t="n">
        <f aca="false">COUNTIFS('Master Checklist'!A:A,"*Loss Runs*",'Master Checklist'!E:E,"HIGH")</f>
        <v>0</v>
      </c>
      <c r="D11" s="22" t="n">
        <f aca="false">COUNTIFS('Master Checklist'!A:A,"*Loss Runs*",'Master Checklist'!E:E,"MEDIUM")</f>
        <v>0</v>
      </c>
      <c r="E11" s="22" t="n">
        <f aca="false">COUNTIFS('Master Checklist'!A:A,"*Loss Runs*",'Master Checklist'!E:E,"LOW")</f>
        <v>0</v>
      </c>
      <c r="F11" s="23" t="n">
        <f aca="false">SUM(B11:E11)</f>
        <v>1</v>
      </c>
    </row>
    <row r="12" customFormat="false" ht="15" hidden="false" customHeight="false" outlineLevel="0" collapsed="false">
      <c r="A12" s="21" t="s">
        <v>596</v>
      </c>
      <c r="B12" s="22" t="n">
        <f aca="false">COUNTIFS('Master Checklist'!A:A,"*Financial Statements*",'Master Checklist'!E:E,"CRITICAL")</f>
        <v>0</v>
      </c>
      <c r="C12" s="22" t="n">
        <f aca="false">COUNTIFS('Master Checklist'!A:A,"*Financial Statements*",'Master Checklist'!E:E,"HIGH")</f>
        <v>1</v>
      </c>
      <c r="D12" s="22" t="n">
        <f aca="false">COUNTIFS('Master Checklist'!A:A,"*Financial Statements*",'Master Checklist'!E:E,"MEDIUM")</f>
        <v>0</v>
      </c>
      <c r="E12" s="22" t="n">
        <f aca="false">COUNTIFS('Master Checklist'!A:A,"*Financial Statements*",'Master Checklist'!E:E,"LOW")</f>
        <v>0</v>
      </c>
      <c r="F12" s="23" t="n">
        <f aca="false">SUM(B12:E12)</f>
        <v>1</v>
      </c>
    </row>
    <row r="13" customFormat="false" ht="15" hidden="false" customHeight="false" outlineLevel="0" collapsed="false">
      <c r="A13" s="21" t="s">
        <v>597</v>
      </c>
      <c r="B13" s="22" t="n">
        <f aca="false">COUNTIFS('Master Checklist'!A:A,"*Certificates of*",'Master Checklist'!E:E,"CRITICAL")</f>
        <v>1</v>
      </c>
      <c r="C13" s="22" t="n">
        <f aca="false">COUNTIFS('Master Checklist'!A:A,"*Certificates of*",'Master Checklist'!E:E,"HIGH")</f>
        <v>0</v>
      </c>
      <c r="D13" s="22" t="n">
        <f aca="false">COUNTIFS('Master Checklist'!A:A,"*Certificates of*",'Master Checklist'!E:E,"MEDIUM")</f>
        <v>0</v>
      </c>
      <c r="E13" s="22" t="n">
        <f aca="false">COUNTIFS('Master Checklist'!A:A,"*Certificates of*",'Master Checklist'!E:E,"LOW")</f>
        <v>0</v>
      </c>
      <c r="F13" s="23" t="n">
        <f aca="false">SUM(B13:E13)</f>
        <v>1</v>
      </c>
    </row>
    <row r="14" customFormat="false" ht="15" hidden="false" customHeight="false" outlineLevel="0" collapsed="false">
      <c r="A14" s="21" t="s">
        <v>598</v>
      </c>
      <c r="B14" s="22" t="n">
        <f aca="false">COUNTIFS('Master Checklist'!A:A,"*Business Entity*",'Master Checklist'!E:E,"CRITICAL")</f>
        <v>1</v>
      </c>
      <c r="C14" s="22" t="n">
        <f aca="false">COUNTIFS('Master Checklist'!A:A,"*Business Entity*",'Master Checklist'!E:E,"HIGH")</f>
        <v>0</v>
      </c>
      <c r="D14" s="22" t="n">
        <f aca="false">COUNTIFS('Master Checklist'!A:A,"*Business Entity*",'Master Checklist'!E:E,"MEDIUM")</f>
        <v>0</v>
      </c>
      <c r="E14" s="22" t="n">
        <f aca="false">COUNTIFS('Master Checklist'!A:A,"*Business Entity*",'Master Checklist'!E:E,"LOW")</f>
        <v>0</v>
      </c>
      <c r="F14" s="23" t="n">
        <f aca="false">SUM(B14:E14)</f>
        <v>1</v>
      </c>
    </row>
    <row r="15" customFormat="false" ht="15" hidden="false" customHeight="false" outlineLevel="0" collapsed="false">
      <c r="A15" s="21" t="s">
        <v>599</v>
      </c>
      <c r="B15" s="22" t="n">
        <f aca="false">COUNTIFS('Master Checklist'!A:A,"*Property Inspection*",'Master Checklist'!E:E,"CRITICAL")</f>
        <v>1</v>
      </c>
      <c r="C15" s="22" t="n">
        <f aca="false">COUNTIFS('Master Checklist'!A:A,"*Property Inspection*",'Master Checklist'!E:E,"HIGH")</f>
        <v>0</v>
      </c>
      <c r="D15" s="22" t="n">
        <f aca="false">COUNTIFS('Master Checklist'!A:A,"*Property Inspection*",'Master Checklist'!E:E,"MEDIUM")</f>
        <v>0</v>
      </c>
      <c r="E15" s="22" t="n">
        <f aca="false">COUNTIFS('Master Checklist'!A:A,"*Property Inspection*",'Master Checklist'!E:E,"LOW")</f>
        <v>0</v>
      </c>
      <c r="F15" s="23" t="n">
        <f aca="false">SUM(B15:E15)</f>
        <v>1</v>
      </c>
    </row>
    <row r="16" customFormat="false" ht="15" hidden="false" customHeight="false" outlineLevel="0" collapsed="false">
      <c r="A16" s="21" t="s">
        <v>271</v>
      </c>
      <c r="B16" s="22" t="n">
        <f aca="false">COUNTIFS('Master Checklist'!A:A,"*Driver MVRs*",'Master Checklist'!E:E,"CRITICAL")</f>
        <v>1</v>
      </c>
      <c r="C16" s="22" t="n">
        <f aca="false">COUNTIFS('Master Checklist'!A:A,"*Driver MVRs*",'Master Checklist'!E:E,"HIGH")</f>
        <v>0</v>
      </c>
      <c r="D16" s="22" t="n">
        <f aca="false">COUNTIFS('Master Checklist'!A:A,"*Driver MVRs*",'Master Checklist'!E:E,"MEDIUM")</f>
        <v>0</v>
      </c>
      <c r="E16" s="22" t="n">
        <f aca="false">COUNTIFS('Master Checklist'!A:A,"*Driver MVRs*",'Master Checklist'!E:E,"LOW")</f>
        <v>0</v>
      </c>
      <c r="F16" s="23" t="n">
        <f aca="false">SUM(B16:E16)</f>
        <v>1</v>
      </c>
    </row>
    <row r="17" customFormat="false" ht="15" hidden="false" customHeight="false" outlineLevel="0" collapsed="false">
      <c r="A17" s="21" t="s">
        <v>600</v>
      </c>
      <c r="B17" s="22" t="n">
        <f aca="false">COUNTIFS('Master Checklist'!A:A,"*Schedules of*",'Master Checklist'!E:E,"CRITICAL")</f>
        <v>1</v>
      </c>
      <c r="C17" s="22" t="n">
        <f aca="false">COUNTIFS('Master Checklist'!A:A,"*Schedules of*",'Master Checklist'!E:E,"HIGH")</f>
        <v>0</v>
      </c>
      <c r="D17" s="22" t="n">
        <f aca="false">COUNTIFS('Master Checklist'!A:A,"*Schedules of*",'Master Checklist'!E:E,"MEDIUM")</f>
        <v>0</v>
      </c>
      <c r="E17" s="22" t="n">
        <f aca="false">COUNTIFS('Master Checklist'!A:A,"*Schedules of*",'Master Checklist'!E:E,"LOW")</f>
        <v>0</v>
      </c>
      <c r="F17" s="23" t="n">
        <f aca="false">SUM(B17:E17)</f>
        <v>1</v>
      </c>
    </row>
    <row r="18" customFormat="false" ht="15" hidden="false" customHeight="false" outlineLevel="0" collapsed="false">
      <c r="A18" s="21" t="s">
        <v>311</v>
      </c>
      <c r="B18" s="22" t="n">
        <f aca="false">COUNTIFS('Master Checklist'!A:A,"*Surplus Lines*",'Master Checklist'!E:E,"CRITICAL")</f>
        <v>1</v>
      </c>
      <c r="C18" s="22" t="n">
        <f aca="false">COUNTIFS('Master Checklist'!A:A,"*Surplus Lines*",'Master Checklist'!E:E,"HIGH")</f>
        <v>0</v>
      </c>
      <c r="D18" s="22" t="n">
        <f aca="false">COUNTIFS('Master Checklist'!A:A,"*Surplus Lines*",'Master Checklist'!E:E,"MEDIUM")</f>
        <v>0</v>
      </c>
      <c r="E18" s="22" t="n">
        <f aca="false">COUNTIFS('Master Checklist'!A:A,"*Surplus Lines*",'Master Checklist'!E:E,"LOW")</f>
        <v>0</v>
      </c>
      <c r="F18" s="23" t="n">
        <f aca="false">SUM(B18:E18)</f>
        <v>1</v>
      </c>
    </row>
    <row r="19" customFormat="false" ht="15" hidden="false" customHeight="false" outlineLevel="0" collapsed="false">
      <c r="A19" s="21" t="s">
        <v>601</v>
      </c>
      <c r="B19" s="22" t="n">
        <f aca="false">COUNTIFS('Master Checklist'!A:A,"*Professional*",'Master Checklist'!E:E,"CRITICAL")</f>
        <v>1</v>
      </c>
      <c r="C19" s="22" t="n">
        <f aca="false">COUNTIFS('Master Checklist'!A:A,"*Professional*",'Master Checklist'!E:E,"HIGH")</f>
        <v>0</v>
      </c>
      <c r="D19" s="22" t="n">
        <f aca="false">COUNTIFS('Master Checklist'!A:A,"*Professional*",'Master Checklist'!E:E,"MEDIUM")</f>
        <v>0</v>
      </c>
      <c r="E19" s="22" t="n">
        <f aca="false">COUNTIFS('Master Checklist'!A:A,"*Professional*",'Master Checklist'!E:E,"LOW")</f>
        <v>0</v>
      </c>
      <c r="F19" s="23" t="n">
        <f aca="false">SUM(B19:E19)</f>
        <v>1</v>
      </c>
    </row>
    <row r="20" customFormat="false" ht="15" hidden="false" customHeight="false" outlineLevel="0" collapsed="false">
      <c r="A20" s="21" t="s">
        <v>348</v>
      </c>
      <c r="B20" s="22" t="n">
        <f aca="false">COUNTIFS('Master Checklist'!A:A,"*Environmental*",'Master Checklist'!E:E,"CRITICAL")</f>
        <v>1</v>
      </c>
      <c r="C20" s="22" t="n">
        <f aca="false">COUNTIFS('Master Checklist'!A:A,"*Environmental*",'Master Checklist'!E:E,"HIGH")</f>
        <v>0</v>
      </c>
      <c r="D20" s="22" t="n">
        <f aca="false">COUNTIFS('Master Checklist'!A:A,"*Environmental*",'Master Checklist'!E:E,"MEDIUM")</f>
        <v>0</v>
      </c>
      <c r="E20" s="22" t="n">
        <f aca="false">COUNTIFS('Master Checklist'!A:A,"*Environmental*",'Master Checklist'!E:E,"LOW")</f>
        <v>0</v>
      </c>
      <c r="F20" s="23" t="n">
        <f aca="false">SUM(B20:E20)</f>
        <v>1</v>
      </c>
    </row>
    <row r="21" customFormat="false" ht="15" hidden="false" customHeight="false" outlineLevel="0" collapsed="false">
      <c r="A21" s="21" t="s">
        <v>602</v>
      </c>
      <c r="B21" s="22" t="n">
        <f aca="false">COUNTIFS('Master Checklist'!A:A,"*Payroll Records*",'Master Checklist'!E:E,"CRITICAL")</f>
        <v>1</v>
      </c>
      <c r="C21" s="22" t="n">
        <f aca="false">COUNTIFS('Master Checklist'!A:A,"*Payroll Records*",'Master Checklist'!E:E,"HIGH")</f>
        <v>0</v>
      </c>
      <c r="D21" s="22" t="n">
        <f aca="false">COUNTIFS('Master Checklist'!A:A,"*Payroll Records*",'Master Checklist'!E:E,"MEDIUM")</f>
        <v>0</v>
      </c>
      <c r="E21" s="22" t="n">
        <f aca="false">COUNTIFS('Master Checklist'!A:A,"*Payroll Records*",'Master Checklist'!E:E,"LOW")</f>
        <v>0</v>
      </c>
      <c r="F21" s="23" t="n">
        <f aca="false">SUM(B21:E21)</f>
        <v>1</v>
      </c>
    </row>
    <row r="22" customFormat="false" ht="15" hidden="false" customHeight="false" outlineLevel="0" collapsed="false">
      <c r="A22" s="21" t="s">
        <v>603</v>
      </c>
      <c r="B22" s="22" t="n">
        <f aca="false">COUNTIFS('Master Checklist'!A:A,"*Broker Submissions*",'Master Checklist'!E:E,"CRITICAL")</f>
        <v>1</v>
      </c>
      <c r="C22" s="22" t="n">
        <f aca="false">COUNTIFS('Master Checklist'!A:A,"*Broker Submissions*",'Master Checklist'!E:E,"HIGH")</f>
        <v>0</v>
      </c>
      <c r="D22" s="22" t="n">
        <f aca="false">COUNTIFS('Master Checklist'!A:A,"*Broker Submissions*",'Master Checklist'!E:E,"MEDIUM")</f>
        <v>0</v>
      </c>
      <c r="E22" s="22" t="n">
        <f aca="false">COUNTIFS('Master Checklist'!A:A,"*Broker Submissions*",'Master Checklist'!E:E,"LOW")</f>
        <v>0</v>
      </c>
      <c r="F22" s="23" t="n">
        <f aca="false">SUM(B22:E22)</f>
        <v>1</v>
      </c>
    </row>
    <row r="23" customFormat="false" ht="15" hidden="false" customHeight="false" outlineLevel="0" collapsed="false">
      <c r="A23" s="21" t="s">
        <v>406</v>
      </c>
      <c r="B23" s="22" t="n">
        <f aca="false">COUNTIFS('Master Checklist'!A:A,"*Fleet Schedules*",'Master Checklist'!E:E,"CRITICAL")</f>
        <v>0</v>
      </c>
      <c r="C23" s="22" t="n">
        <f aca="false">COUNTIFS('Master Checklist'!A:A,"*Fleet Schedules*",'Master Checklist'!E:E,"HIGH")</f>
        <v>1</v>
      </c>
      <c r="D23" s="22" t="n">
        <f aca="false">COUNTIFS('Master Checklist'!A:A,"*Fleet Schedules*",'Master Checklist'!E:E,"MEDIUM")</f>
        <v>0</v>
      </c>
      <c r="E23" s="22" t="n">
        <f aca="false">COUNTIFS('Master Checklist'!A:A,"*Fleet Schedules*",'Master Checklist'!E:E,"LOW")</f>
        <v>0</v>
      </c>
      <c r="F23" s="23" t="n">
        <f aca="false">SUM(B23:E23)</f>
        <v>1</v>
      </c>
    </row>
    <row r="24" customFormat="false" ht="15" hidden="false" customHeight="false" outlineLevel="0" collapsed="false">
      <c r="A24" s="24" t="s">
        <v>604</v>
      </c>
      <c r="B24" s="15" t="n">
        <f aca="false">SUM(B8:B23)</f>
        <v>14</v>
      </c>
      <c r="C24" s="15" t="n">
        <f aca="false">SUM(C8:C23)</f>
        <v>2</v>
      </c>
      <c r="D24" s="15" t="n">
        <f aca="false">SUM(D8:D23)</f>
        <v>0</v>
      </c>
      <c r="E24" s="15" t="n">
        <f aca="false">SUM(E8:E23)</f>
        <v>0</v>
      </c>
      <c r="F24" s="15" t="n">
        <f aca="false">SUM(F8:F23)</f>
        <v>16</v>
      </c>
    </row>
    <row r="26" customFormat="false" ht="15" hidden="false" customHeight="false" outlineLevel="0" collapsed="false">
      <c r="A26" s="20" t="s">
        <v>605</v>
      </c>
    </row>
    <row r="27" customFormat="false" ht="15" hidden="false" customHeight="false" outlineLevel="0" collapsed="false">
      <c r="A27" s="3" t="s">
        <v>7</v>
      </c>
      <c r="B27" s="3" t="s">
        <v>606</v>
      </c>
      <c r="C27" s="3"/>
      <c r="D27" s="3"/>
      <c r="E27" s="3"/>
      <c r="F27" s="3"/>
    </row>
    <row r="28" customFormat="false" ht="15" hidden="false" customHeight="false" outlineLevel="0" collapsed="false">
      <c r="A28" s="21" t="s">
        <v>15</v>
      </c>
      <c r="B28" s="25" t="n">
        <f aca="false">COUNTIF('Master Checklist'!F:F,"*Cross-doc NLP*")</f>
        <v>17</v>
      </c>
    </row>
    <row r="29" customFormat="false" ht="15" hidden="false" customHeight="false" outlineLevel="0" collapsed="false">
      <c r="A29" s="21" t="s">
        <v>33</v>
      </c>
      <c r="B29" s="25" t="n">
        <f aca="false">COUNTIF('Master Checklist'!F:F,"*Forensic*")</f>
        <v>14</v>
      </c>
    </row>
    <row r="30" customFormat="false" ht="15" hidden="false" customHeight="false" outlineLevel="0" collapsed="false">
      <c r="A30" s="21" t="s">
        <v>109</v>
      </c>
      <c r="B30" s="25" t="n">
        <f aca="false">COUNTIF('Master Checklist'!F:F,"*Rules*")</f>
        <v>12</v>
      </c>
    </row>
    <row r="31" customFormat="false" ht="15" hidden="false" customHeight="false" outlineLevel="0" collapsed="false">
      <c r="A31" s="21" t="s">
        <v>20</v>
      </c>
      <c r="B31" s="25" t="n">
        <f aca="false">COUNTIF('Master Checklist'!F:F,"*Statistical*")</f>
        <v>13</v>
      </c>
    </row>
    <row r="32" customFormat="false" ht="15" hidden="false" customHeight="false" outlineLevel="0" collapsed="false">
      <c r="A32" s="21" t="s">
        <v>28</v>
      </c>
      <c r="B32" s="25" t="n">
        <f aca="false">COUNTIF('Master Checklist'!F:F,"*Temporal*")</f>
        <v>6</v>
      </c>
    </row>
    <row r="33" customFormat="false" ht="15" hidden="false" customHeight="false" outlineLevel="0" collapsed="false">
      <c r="A33" s="21" t="s">
        <v>45</v>
      </c>
      <c r="B33" s="25" t="n">
        <f aca="false">COUNTIF('Master Checklist'!F:F,"*Entity Intel*")</f>
        <v>8</v>
      </c>
    </row>
    <row r="34" customFormat="false" ht="15" hidden="false" customHeight="false" outlineLevel="0" collapsed="false">
      <c r="A34" s="21" t="s">
        <v>97</v>
      </c>
      <c r="B34" s="25" t="n">
        <f aca="false">COUNTIF('Master Checklist'!F:F,"*Visual AI*")</f>
        <v>12</v>
      </c>
    </row>
    <row r="35" customFormat="false" ht="15" hidden="false" customHeight="false" outlineLevel="0" collapsed="false">
      <c r="A35" s="21" t="s">
        <v>234</v>
      </c>
      <c r="B35" s="25" t="n">
        <f aca="false">COUNTIF('Master Checklist'!F:F,"*NLP*")</f>
        <v>26</v>
      </c>
    </row>
    <row r="36" customFormat="false" ht="15" hidden="false" customHeight="false" outlineLevel="0" collapsed="false">
      <c r="A36" s="21" t="s">
        <v>207</v>
      </c>
      <c r="B36" s="25" t="n">
        <f aca="false">COUNTIF('Master Checklist'!F:F,"*API*")</f>
        <v>11</v>
      </c>
    </row>
    <row r="37" customFormat="false" ht="15" hidden="false" customHeight="false" outlineLevel="0" collapsed="false">
      <c r="A37" s="21" t="s">
        <v>230</v>
      </c>
      <c r="B37" s="25" t="n">
        <f aca="false">COUNTIF('Master Checklist'!F:F,"*Network Graph*")</f>
        <v>1</v>
      </c>
    </row>
    <row r="38" customFormat="false" ht="15" hidden="false" customHeight="false" outlineLevel="0" collapsed="false">
      <c r="A38" s="21" t="s">
        <v>52</v>
      </c>
      <c r="B38" s="25" t="n">
        <f aca="false">COUNTIF('Master Checklist'!F:F,"*Pattern*")</f>
        <v>2</v>
      </c>
    </row>
    <row r="39" customFormat="false" ht="15" hidden="false" customHeight="false" outlineLevel="0" collapsed="false">
      <c r="A39" s="21" t="s">
        <v>152</v>
      </c>
      <c r="B39" s="25" t="n">
        <f aca="false">COUNTIF('Master Checklist'!F:F,"*Ratio Analysis*")</f>
        <v>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2026-02-14T21:22:34Z</dcterms:created>
  <dc:creator>openpyxl</dc:creator>
  <dc:description/>
  <dc:language>en-US</dc:language>
  <cp:lastModifiedBy/>
  <dcterms:modified xsi:type="dcterms:W3CDTF">2026-02-14T21:22:34Z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